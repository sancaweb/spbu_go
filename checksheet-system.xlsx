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web\Ai-Builder\spbu_go\"/>
    </mc:Choice>
  </mc:AlternateContent>
  <xr:revisionPtr revIDLastSave="0" documentId="13_ncr:1_{B5BBC910-F033-4D57-A658-1996B9942BB9}" xr6:coauthVersionLast="47" xr6:coauthVersionMax="47" xr10:uidLastSave="{00000000-0000-0000-0000-000000000000}"/>
  <bookViews>
    <workbookView xWindow="-108" yWindow="-108" windowWidth="23256" windowHeight="13896" xr2:uid="{B7A56C42-A46E-42EE-906F-466B70F6F87E}"/>
  </bookViews>
  <sheets>
    <sheet name="00_Ringkasan" sheetId="1" r:id="rId1"/>
    <sheet name="01_SRS" sheetId="2" r:id="rId2"/>
    <sheet name="02_Requirements" sheetId="3" r:id="rId3"/>
    <sheet name="03_Process_Flow" sheetId="4" r:id="rId4"/>
    <sheet name="04_Data_Model" sheetId="5" r:id="rId5"/>
    <sheet name="05_Checksheet" sheetId="6" r:id="rId6"/>
    <sheet name="06_Traceability" sheetId="7" r:id="rId7"/>
    <sheet name="07_Panduan_Copy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7" l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G5" i="7"/>
  <c r="H5" i="7" s="1"/>
  <c r="B21" i="1" s="1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B20" i="1"/>
  <c r="B19" i="1"/>
  <c r="B18" i="1"/>
</calcChain>
</file>

<file path=xl/sharedStrings.xml><?xml version="1.0" encoding="utf-8"?>
<sst xmlns="http://schemas.openxmlformats.org/spreadsheetml/2006/main" count="1048" uniqueCount="633">
  <si>
    <t>SPBU-GO</t>
  </si>
  <si>
    <t>SYSTEM REQUIREMENT SPECIFICATION &amp; CHECKSHEET</t>
  </si>
  <si>
    <t>SPBU-GO | Contoh Modul: Login &amp; Hak Akses</t>
  </si>
  <si>
    <t>Informasi Dokumen</t>
  </si>
  <si>
    <t>Nilai</t>
  </si>
  <si>
    <t>Project</t>
  </si>
  <si>
    <t>Modul</t>
  </si>
  <si>
    <t>Login &amp; Hak Akses</t>
  </si>
  <si>
    <t>Kode Dokumen</t>
  </si>
  <si>
    <t>SRS-AUTH-001</t>
  </si>
  <si>
    <t>Versi</t>
  </si>
  <si>
    <t>Status Dokumen</t>
  </si>
  <si>
    <t>Draft untuk Review</t>
  </si>
  <si>
    <t>Pemilik Dokumen</t>
  </si>
  <si>
    <t>Section Head / Product Owner</t>
  </si>
  <si>
    <t>Tanggal Dokumen</t>
  </si>
  <si>
    <t>Tujuan &amp; Navigasi</t>
  </si>
  <si>
    <t>Keterangan</t>
  </si>
  <si>
    <t>Status</t>
  </si>
  <si>
    <t>Owner</t>
  </si>
  <si>
    <t>Catatan</t>
  </si>
  <si>
    <t>01_SRS</t>
  </si>
  <si>
    <t>Ruang lingkup, aktor, aturan bisnis, dan NFR</t>
  </si>
  <si>
    <t>Siap review</t>
  </si>
  <si>
    <t>BA/PO</t>
  </si>
  <si>
    <t>Baseline kebutuhan</t>
  </si>
  <si>
    <t>02_Requirements</t>
  </si>
  <si>
    <t>Daftar fitur dan acceptance criteria</t>
  </si>
  <si>
    <t>Sumber utama requirement</t>
  </si>
  <si>
    <t>03_Process_Flow</t>
  </si>
  <si>
    <t>Alur utama dan exception</t>
  </si>
  <si>
    <t>BA/Dev</t>
  </si>
  <si>
    <t>Verifikasi end-to-end</t>
  </si>
  <si>
    <t>04_Data_Model</t>
  </si>
  <si>
    <t>Entitas, atribut, relasi, dan aturan data</t>
  </si>
  <si>
    <t>Dev/DBA</t>
  </si>
  <si>
    <t>Dasar ERD</t>
  </si>
  <si>
    <t>05_Checksheet</t>
  </si>
  <si>
    <t>Checklist verifikasi requirement</t>
  </si>
  <si>
    <t>Belum diuji</t>
  </si>
  <si>
    <t>QA/UAT</t>
  </si>
  <si>
    <t>Isi hasil dan evidence</t>
  </si>
  <si>
    <t>06_Traceability</t>
  </si>
  <si>
    <t>Keterlacakan requirement ke flow dan test</t>
  </si>
  <si>
    <t>BA/QA</t>
  </si>
  <si>
    <t>Pantau coverage</t>
  </si>
  <si>
    <t>07_Panduan_Copy</t>
  </si>
  <si>
    <t>Cara menyalin kerangka untuk modul lain</t>
  </si>
  <si>
    <t>Tersedia</t>
  </si>
  <si>
    <t>Dokumen Owner</t>
  </si>
  <si>
    <t>Ikuti urutan langkah</t>
  </si>
  <si>
    <t>RINGKASAN KESIAPAN MODUL</t>
  </si>
  <si>
    <t>Metrik</t>
  </si>
  <si>
    <t>Total Requirement</t>
  </si>
  <si>
    <t>Requirement Approved</t>
  </si>
  <si>
    <t>Item Checksheet Pass</t>
  </si>
  <si>
    <t>Coverage Traceability</t>
  </si>
  <si>
    <t>Gate Persetujuan</t>
  </si>
  <si>
    <t>PIC</t>
  </si>
  <si>
    <t>Tanggal</t>
  </si>
  <si>
    <t>Business Requirement</t>
  </si>
  <si>
    <t>Product Owner</t>
  </si>
  <si>
    <t>Open</t>
  </si>
  <si>
    <t>Technical Design</t>
  </si>
  <si>
    <t>Tech Lead</t>
  </si>
  <si>
    <t>Security Review</t>
  </si>
  <si>
    <t>Security/IT</t>
  </si>
  <si>
    <t>QA Verification</t>
  </si>
  <si>
    <t>QA Lead</t>
  </si>
  <si>
    <t>UAT &amp; Go-Live</t>
  </si>
  <si>
    <t>Business Owner</t>
  </si>
  <si>
    <t>SRS — MODUL LOGIN &amp; HAK AKSES</t>
  </si>
  <si>
    <t>1. Tujuan</t>
  </si>
  <si>
    <t>Menjamin hanya pengguna sah yang dapat masuk ke SPBU-GO dan mengakses fungsi sesuai perannya.</t>
  </si>
  <si>
    <t>2. Ruang Lingkup</t>
  </si>
  <si>
    <t>Login dengan username/password, validasi kredensial, pembatasan percobaan, logout, session timeout, reset password, dan role-based access.</t>
  </si>
  <si>
    <t>In Scope</t>
  </si>
  <si>
    <t>Web application internal</t>
  </si>
  <si>
    <t>Out of Scope</t>
  </si>
  <si>
    <t>Registrasi mandiri, social login, biometric login, dan integrasi SSO pada versi contoh ini.</t>
  </si>
  <si>
    <t>Dependensi</t>
  </si>
  <si>
    <t>User master, email service, audit log</t>
  </si>
  <si>
    <t>3. Aktor</t>
  </si>
  <si>
    <t>User, Admin Sistem, Product Owner, QA, dan Security Reviewer.</t>
  </si>
  <si>
    <t>Primary Actor</t>
  </si>
  <si>
    <t>User</t>
  </si>
  <si>
    <t>4. Pre-condition</t>
  </si>
  <si>
    <t>Akun aktif telah tersedia; role sudah terpasang; aplikasi dan database dapat diakses.</t>
  </si>
  <si>
    <t>Trigger</t>
  </si>
  <si>
    <t>User membuka halaman login</t>
  </si>
  <si>
    <t>5. Post-condition</t>
  </si>
  <si>
    <t>Session aktif dibuat setelah login berhasil; aktivitas login/logout tercatat dalam audit log.</t>
  </si>
  <si>
    <t>Outcome</t>
  </si>
  <si>
    <t>Akses sesuai role</t>
  </si>
  <si>
    <t>6. Asumsi</t>
  </si>
  <si>
    <t>Password disimpan dalam bentuk hash; email user valid; waktu server tersinkronisasi.</t>
  </si>
  <si>
    <t>Constraint</t>
  </si>
  <si>
    <t>Kebijakan keamanan perusahaan</t>
  </si>
  <si>
    <t>7. Definisi Selesai</t>
  </si>
  <si>
    <t>Semua requirement prioritas Must lulus, tidak ada defect Critical/High terbuka, evidence tersedia, dan approval lengkap.</t>
  </si>
  <si>
    <t>Release Gate</t>
  </si>
  <si>
    <t>Pass</t>
  </si>
  <si>
    <t>ID</t>
  </si>
  <si>
    <t>Aturan Bisnis</t>
  </si>
  <si>
    <t>Parameter Contoh</t>
  </si>
  <si>
    <t>Verifikasi</t>
  </si>
  <si>
    <t>BR-AUTH-001</t>
  </si>
  <si>
    <t>Akun nonaktif tidak dapat login.</t>
  </si>
  <si>
    <t>user_status = Active</t>
  </si>
  <si>
    <t>Negative test</t>
  </si>
  <si>
    <t>BR-AUTH-002</t>
  </si>
  <si>
    <t>Akun dikunci setelah 5 login gagal berturut-turut.</t>
  </si>
  <si>
    <t>Max attempt = 5</t>
  </si>
  <si>
    <t>Boundary test</t>
  </si>
  <si>
    <t>BR-AUTH-003</t>
  </si>
  <si>
    <t>Durasi penguncian otomatis 15 menit atau dibuka Admin.</t>
  </si>
  <si>
    <t>Lock = 15 menit</t>
  </si>
  <si>
    <t>Time-based test</t>
  </si>
  <si>
    <t>BR-AUTH-004</t>
  </si>
  <si>
    <t>Session berakhir setelah 30 menit tanpa aktivitas.</t>
  </si>
  <si>
    <t>Timeout = 30 menit</t>
  </si>
  <si>
    <t>Idle session test</t>
  </si>
  <si>
    <t>BR-AUTH-005</t>
  </si>
  <si>
    <t>Link reset password berlaku 30 menit dan hanya sekali.</t>
  </si>
  <si>
    <t>Token TTL = 30 menit</t>
  </si>
  <si>
    <t>Token reuse test</t>
  </si>
  <si>
    <t>BR-AUTH-006</t>
  </si>
  <si>
    <t>Password baru minimal 8 karakter, memuat huruf besar, kecil, angka, dan simbol.</t>
  </si>
  <si>
    <t>Complexity policy</t>
  </si>
  <si>
    <t>Validation test</t>
  </si>
  <si>
    <t>BR-AUTH-007</t>
  </si>
  <si>
    <t>Menu dan aksi ditampilkan berdasarkan permission role aktif.</t>
  </si>
  <si>
    <t>RBAC</t>
  </si>
  <si>
    <t>Role matrix test</t>
  </si>
  <si>
    <t>Kategori NFR</t>
  </si>
  <si>
    <t>Kebutuhan</t>
  </si>
  <si>
    <t>Target</t>
  </si>
  <si>
    <t>Metode Ukur</t>
  </si>
  <si>
    <t>Priority</t>
  </si>
  <si>
    <t>NFR-AUTH-001</t>
  </si>
  <si>
    <t>Performance</t>
  </si>
  <si>
    <t>Respons login normal</t>
  </si>
  <si>
    <t>≤ 2 detik pada persentil 95</t>
  </si>
  <si>
    <t>Load test 100 concurrent users</t>
  </si>
  <si>
    <t>Must</t>
  </si>
  <si>
    <t>Draft</t>
  </si>
  <si>
    <t>NFR-AUTH-002</t>
  </si>
  <si>
    <t>Availability</t>
  </si>
  <si>
    <t>Layanan autentikasi tersedia</t>
  </si>
  <si>
    <t>≥ 99,5% per bulan</t>
  </si>
  <si>
    <t>Monitoring uptime</t>
  </si>
  <si>
    <t>Should</t>
  </si>
  <si>
    <t>Ops</t>
  </si>
  <si>
    <t>NFR-AUTH-003</t>
  </si>
  <si>
    <t>Security</t>
  </si>
  <si>
    <t>Password tidak disimpan sebagai plain text</t>
  </si>
  <si>
    <t>Hash kuat + salt</t>
  </si>
  <si>
    <t>Code/config review</t>
  </si>
  <si>
    <t>NFR-AUTH-004</t>
  </si>
  <si>
    <t>Auditability</t>
  </si>
  <si>
    <t>Login berhasil/gagal, logout, reset, dan lock tercatat</t>
  </si>
  <si>
    <t>100% event wajib</t>
  </si>
  <si>
    <t>Audit log review</t>
  </si>
  <si>
    <t>Dev</t>
  </si>
  <si>
    <t>NFR-AUTH-005</t>
  </si>
  <si>
    <t>Usability</t>
  </si>
  <si>
    <t>Pesan gagal tidak mengungkap apakah username terdaftar</t>
  </si>
  <si>
    <t>Generic error message</t>
  </si>
  <si>
    <t>UI review</t>
  </si>
  <si>
    <t>UX/QA</t>
  </si>
  <si>
    <t>NFR-AUTH-006</t>
  </si>
  <si>
    <t>Compatibility</t>
  </si>
  <si>
    <t>Fungsi berjalan pada browser perusahaan yang didukung</t>
  </si>
  <si>
    <t>2 versi mayor terakhir</t>
  </si>
  <si>
    <t>Cross-browser test</t>
  </si>
  <si>
    <t>QA</t>
  </si>
  <si>
    <t>DAFTAR REQUIREMENT — LOGIN &amp; HAK AKSES</t>
  </si>
  <si>
    <t>Req ID</t>
  </si>
  <si>
    <t>Kategori</t>
  </si>
  <si>
    <t>Fitur</t>
  </si>
  <si>
    <t>Deskripsi Requirement</t>
  </si>
  <si>
    <t>Sumber</t>
  </si>
  <si>
    <t>Acceptance Criteria</t>
  </si>
  <si>
    <t>Evidence/Link</t>
  </si>
  <si>
    <t>FR-AUTH-001</t>
  </si>
  <si>
    <t>Functional</t>
  </si>
  <si>
    <t>Halaman Login</t>
  </si>
  <si>
    <t>Sistem menampilkan field username, password, tombol Login, dan tautan Lupa Password.</t>
  </si>
  <si>
    <t>Semua komponen tampil dan dapat digunakan sesuai desain.</t>
  </si>
  <si>
    <t>FR-AUTH-002</t>
  </si>
  <si>
    <t>Validasi Input</t>
  </si>
  <si>
    <t>Sistem menolak username atau password kosong.</t>
  </si>
  <si>
    <t>BR-AUTH</t>
  </si>
  <si>
    <t>Pesan validasi tampil; request autentikasi tidak dikirim.</t>
  </si>
  <si>
    <t>Dev/QA</t>
  </si>
  <si>
    <t>FR-AUTH-003</t>
  </si>
  <si>
    <t>Autentikasi</t>
  </si>
  <si>
    <t>Sistem memvalidasi kredensial terhadap user aktif.</t>
  </si>
  <si>
    <t>Kredensial valid masuk; invalid ditolak dengan pesan generik.</t>
  </si>
  <si>
    <t>FR-AUTH-004</t>
  </si>
  <si>
    <t>Failed Attempt</t>
  </si>
  <si>
    <t>Sistem menghitung percobaan login gagal per akun.</t>
  </si>
  <si>
    <t>Counter bertambah hanya pada kegagalan dan reset setelah login sukses.</t>
  </si>
  <si>
    <t>FR-AUTH-005</t>
  </si>
  <si>
    <t>Account Lock</t>
  </si>
  <si>
    <t>Sistem mengunci akun pada kegagalan kelima berturut-turut.</t>
  </si>
  <si>
    <t>Attempt 1–4 tidak lock; attempt 5 membuat status Locked.</t>
  </si>
  <si>
    <t>FR-AUTH-006</t>
  </si>
  <si>
    <t>Session</t>
  </si>
  <si>
    <t>Sistem membuat session setelah login berhasil.</t>
  </si>
  <si>
    <t>Session ID unik dibuat dan user diarahkan ke dashboard.</t>
  </si>
  <si>
    <t>FR-AUTH-007</t>
  </si>
  <si>
    <t>Session Timeout</t>
  </si>
  <si>
    <t>Sistem mengakhiri session setelah 30 menit tidak aktif.</t>
  </si>
  <si>
    <t>Setelah timeout, akses berikutnya kembali ke login.</t>
  </si>
  <si>
    <t>FR-AUTH-008</t>
  </si>
  <si>
    <t>Logout</t>
  </si>
  <si>
    <t>User dapat mengakhiri session aktif.</t>
  </si>
  <si>
    <t>Session invalid dan tombol Back tidak membuka halaman terproteksi.</t>
  </si>
  <si>
    <t>FR-AUTH-009</t>
  </si>
  <si>
    <t>Lupa Password</t>
  </si>
  <si>
    <t>User dapat meminta link reset melalui email terdaftar.</t>
  </si>
  <si>
    <t>Respons tetap generik; token dikirim untuk akun valid.</t>
  </si>
  <si>
    <t>FR-AUTH-010</t>
  </si>
  <si>
    <t>Reset Password</t>
  </si>
  <si>
    <t>Sistem memvalidasi token dan kebijakan password baru.</t>
  </si>
  <si>
    <t>BR-AUTH-005/006</t>
  </si>
  <si>
    <t>Token valid hanya sekali; password lemah ditolak.</t>
  </si>
  <si>
    <t>FR-AUTH-011</t>
  </si>
  <si>
    <t>Authorization</t>
  </si>
  <si>
    <t>Sistem memuat menu dan permission sesuai role user.</t>
  </si>
  <si>
    <t>User hanya melihat dan menjalankan aksi yang diizinkan.</t>
  </si>
  <si>
    <t>FR-AUTH-012</t>
  </si>
  <si>
    <t>Audit</t>
  </si>
  <si>
    <t>Audit Login</t>
  </si>
  <si>
    <t>Sistem mencatat waktu, user, hasil, IP, dan device info untuk event autentikasi.</t>
  </si>
  <si>
    <t>Setiap event wajib memiliki timestamp dan result.</t>
  </si>
  <si>
    <t>Response Time</t>
  </si>
  <si>
    <t>Respons login memenuhi target performa.</t>
  </si>
  <si>
    <t>SRS NFR</t>
  </si>
  <si>
    <t>P95 ≤ 2 detik pada 100 concurrent users.</t>
  </si>
  <si>
    <t>Tech Lead/QA</t>
  </si>
  <si>
    <t>Password Storage</t>
  </si>
  <si>
    <t>Password disimpan dengan hash dan salt.</t>
  </si>
  <si>
    <t>Tidak ada password plain text di DB, log, atau network trace.</t>
  </si>
  <si>
    <t>Security/Dev</t>
  </si>
  <si>
    <t>Event Coverage</t>
  </si>
  <si>
    <t>Semua event autentikasi wajib tercatat.</t>
  </si>
  <si>
    <t>Login success/fail, lock, reset, logout tercatat 100%.</t>
  </si>
  <si>
    <t>Secure Message</t>
  </si>
  <si>
    <t>Pesan error tidak membocorkan keberadaan akun.</t>
  </si>
  <si>
    <t>Username salah dan password salah menghasilkan pesan sama.</t>
  </si>
  <si>
    <t>PROCESS FLOW — LOGIN UTAMA &amp; EXCEPTION</t>
  </si>
  <si>
    <t>Step</t>
  </si>
  <si>
    <t>Aktor</t>
  </si>
  <si>
    <t>Input/Trigger</t>
  </si>
  <si>
    <t>Proses Sistem</t>
  </si>
  <si>
    <t>Keputusan</t>
  </si>
  <si>
    <t>Output</t>
  </si>
  <si>
    <t>Exception/Recovery</t>
  </si>
  <si>
    <t>Req Ref</t>
  </si>
  <si>
    <t>Verified?</t>
  </si>
  <si>
    <t>Buka aplikasi</t>
  </si>
  <si>
    <t>Tampilkan halaman login</t>
  </si>
  <si>
    <t>—</t>
  </si>
  <si>
    <t>Form login tampil</t>
  </si>
  <si>
    <t>Service unavailable → tampilkan error</t>
  </si>
  <si>
    <t>Belum</t>
  </si>
  <si>
    <t>Username &amp; password</t>
  </si>
  <si>
    <t>Validasi field wajib</t>
  </si>
  <si>
    <t>Field lengkap?</t>
  </si>
  <si>
    <t>Kirim request autentikasi</t>
  </si>
  <si>
    <t>Kosong → pesan validasi</t>
  </si>
  <si>
    <t>System</t>
  </si>
  <si>
    <t>Request autentikasi</t>
  </si>
  <si>
    <t>Cari user dan cek status</t>
  </si>
  <si>
    <t>Akun aktif?</t>
  </si>
  <si>
    <t>Lanjut cek password</t>
  </si>
  <si>
    <t>Tidak aktif/unknown → pesan generik</t>
  </si>
  <si>
    <t>Password</t>
  </si>
  <si>
    <t>Verifikasi hash password</t>
  </si>
  <si>
    <t>Password cocok?</t>
  </si>
  <si>
    <t>Reset failed counter</t>
  </si>
  <si>
    <t>Tidak cocok → tambah counter</t>
  </si>
  <si>
    <t>FR-AUTH-003/004</t>
  </si>
  <si>
    <t>Failed counter</t>
  </si>
  <si>
    <t>Evaluasi jumlah kegagalan</t>
  </si>
  <si>
    <t>Counter ≥ 5?</t>
  </si>
  <si>
    <t>Kunci akun</t>
  </si>
  <si>
    <t>Belum 5 → kembali ke login</t>
  </si>
  <si>
    <t>User valid</t>
  </si>
  <si>
    <t>Buat session unik</t>
  </si>
  <si>
    <t>Session berhasil?</t>
  </si>
  <si>
    <t>Catat login sukses</t>
  </si>
  <si>
    <t>Gagal → rollback dan pesan error</t>
  </si>
  <si>
    <t>FR-AUTH-006/012</t>
  </si>
  <si>
    <t>Role user</t>
  </si>
  <si>
    <t>Muat role dan permission</t>
  </si>
  <si>
    <t>Permission tersedia?</t>
  </si>
  <si>
    <t>Bentuk menu sesuai role</t>
  </si>
  <si>
    <t>Tidak ada role → deny access + log</t>
  </si>
  <si>
    <t>Session aktif</t>
  </si>
  <si>
    <t>Arahkan ke dashboard</t>
  </si>
  <si>
    <t>Dashboard tampil</t>
  </si>
  <si>
    <t>Route gagal → error page</t>
  </si>
  <si>
    <t>Tidak aktif 30 menit</t>
  </si>
  <si>
    <t>Cek last activity</t>
  </si>
  <si>
    <t>Timeout?</t>
  </si>
  <si>
    <t>Invalidasi session</t>
  </si>
  <si>
    <t>Aktivitas ada → perpanjang session</t>
  </si>
  <si>
    <t>Klik Logout</t>
  </si>
  <si>
    <t>Kembali ke login</t>
  </si>
  <si>
    <t>Log event gagal → retry async</t>
  </si>
  <si>
    <t>FR-AUTH-008/012</t>
  </si>
  <si>
    <t>Klik Lupa Password</t>
  </si>
  <si>
    <t>Terima identifier</t>
  </si>
  <si>
    <t>Akun eligible?</t>
  </si>
  <si>
    <t>Buat token + kirim email</t>
  </si>
  <si>
    <t>Selalu tampilkan respons generik</t>
  </si>
  <si>
    <t>Token + password baru</t>
  </si>
  <si>
    <t>Validasi token dan complexity</t>
  </si>
  <si>
    <t>Valid?</t>
  </si>
  <si>
    <t>Ubah password + invalidasi token</t>
  </si>
  <si>
    <t>Expired/reused/lemah → ditolak</t>
  </si>
  <si>
    <t>DATA MODEL / ERD CHECK — MODUL LOGIN &amp; HAK AKSES</t>
  </si>
  <si>
    <t>Entity</t>
  </si>
  <si>
    <t>Attribute</t>
  </si>
  <si>
    <t>Key</t>
  </si>
  <si>
    <t>Data Type</t>
  </si>
  <si>
    <t>Nullable</t>
  </si>
  <si>
    <t>Default</t>
  </si>
  <si>
    <t>Business Rule</t>
  </si>
  <si>
    <t>users</t>
  </si>
  <si>
    <t>user_id</t>
  </si>
  <si>
    <t>PK</t>
  </si>
  <si>
    <t>UUID</t>
  </si>
  <si>
    <t>No</t>
  </si>
  <si>
    <t>Generated</t>
  </si>
  <si>
    <t>Identifier unik user</t>
  </si>
  <si>
    <t>username</t>
  </si>
  <si>
    <t>UK</t>
  </si>
  <si>
    <t>VARCHAR(100)</t>
  </si>
  <si>
    <t>Unik, case policy ditetapkan</t>
  </si>
  <si>
    <t>email</t>
  </si>
  <si>
    <t>VARCHAR(255)</t>
  </si>
  <si>
    <t>Format email valid</t>
  </si>
  <si>
    <t>password_hash</t>
  </si>
  <si>
    <t>Tidak menyimpan plain text</t>
  </si>
  <si>
    <t>status</t>
  </si>
  <si>
    <t>VARCHAR(20)</t>
  </si>
  <si>
    <t>Active</t>
  </si>
  <si>
    <t>Active/Inactive/Locked</t>
  </si>
  <si>
    <t>FR-AUTH-003/005</t>
  </si>
  <si>
    <t>failed_attempts</t>
  </si>
  <si>
    <t>INT</t>
  </si>
  <si>
    <t>0–5, reset setelah sukses</t>
  </si>
  <si>
    <t>locked_until</t>
  </si>
  <si>
    <t>TIMESTAMP</t>
  </si>
  <si>
    <t>Yes</t>
  </si>
  <si>
    <t>NULL</t>
  </si>
  <si>
    <t>Isi saat temporary lock</t>
  </si>
  <si>
    <t>roles</t>
  </si>
  <si>
    <t>role_id</t>
  </si>
  <si>
    <t>Identifier unik role</t>
  </si>
  <si>
    <t>role_name</t>
  </si>
  <si>
    <t>Nama role unik</t>
  </si>
  <si>
    <t>user_roles</t>
  </si>
  <si>
    <t>PK,FK</t>
  </si>
  <si>
    <t>FK ke users</t>
  </si>
  <si>
    <t>FK ke roles</t>
  </si>
  <si>
    <t>sessions</t>
  </si>
  <si>
    <t>session_id</t>
  </si>
  <si>
    <t>Tidak mudah ditebak</t>
  </si>
  <si>
    <t>FK</t>
  </si>
  <si>
    <t>expires_at</t>
  </si>
  <si>
    <t>Sesuai timeout policy</t>
  </si>
  <si>
    <t>password_reset_tokens</t>
  </si>
  <si>
    <t>token_id</t>
  </si>
  <si>
    <t>Identifier token</t>
  </si>
  <si>
    <t>token_hash</t>
  </si>
  <si>
    <t>Token tidak disimpan plain text</t>
  </si>
  <si>
    <t>Maksimum 30 menit</t>
  </si>
  <si>
    <t>audit_logs</t>
  </si>
  <si>
    <t>audit_id</t>
  </si>
  <si>
    <t>BIGINT</t>
  </si>
  <si>
    <t>Identifier event</t>
  </si>
  <si>
    <t>Boleh null untuk unknown user</t>
  </si>
  <si>
    <t>event_result</t>
  </si>
  <si>
    <t>VARCHAR(30)</t>
  </si>
  <si>
    <t>Success/Fail/Locked/etc.</t>
  </si>
  <si>
    <t>Parent Entity</t>
  </si>
  <si>
    <t>Relationship</t>
  </si>
  <si>
    <t>Child Entity</t>
  </si>
  <si>
    <t>Cardinality</t>
  </si>
  <si>
    <t>Integrity Rule</t>
  </si>
  <si>
    <t>has</t>
  </si>
  <si>
    <t>1 : N</t>
  </si>
  <si>
    <t>Delete restricted if active role exists</t>
  </si>
  <si>
    <t>assigned through</t>
  </si>
  <si>
    <t>Role must exist</t>
  </si>
  <si>
    <t>owns</t>
  </si>
  <si>
    <t>Expired session can be purged</t>
  </si>
  <si>
    <t>requests</t>
  </si>
  <si>
    <t>Only latest valid token usable</t>
  </si>
  <si>
    <t>generates</t>
  </si>
  <si>
    <t>Audit retained per policy</t>
  </si>
  <si>
    <t>grants</t>
  </si>
  <si>
    <t>permissions</t>
  </si>
  <si>
    <t>N : M</t>
  </si>
  <si>
    <t>Implemented via role_permissions</t>
  </si>
  <si>
    <t>ERD Verification</t>
  </si>
  <si>
    <t>Expected</t>
  </si>
  <si>
    <t>Reviewer</t>
  </si>
  <si>
    <t>Evidence</t>
  </si>
  <si>
    <t>Primary key defined for every entity</t>
  </si>
  <si>
    <t>DBA</t>
  </si>
  <si>
    <t>Foreign key and cardinality match flow</t>
  </si>
  <si>
    <t>DBA/BA</t>
  </si>
  <si>
    <t>Unique constraints prevent duplicate identity</t>
  </si>
  <si>
    <t>Sensitive values stored securely</t>
  </si>
  <si>
    <t>Index exists for username/email/token lookup</t>
  </si>
  <si>
    <t>Retention/purge rules documented</t>
  </si>
  <si>
    <t>Ops/Security</t>
  </si>
  <si>
    <t>Migration and rollback script reviewed</t>
  </si>
  <si>
    <t>CHECKSHEET VERIFIKASI — LOGIN &amp; HAK AKSES</t>
  </si>
  <si>
    <t>Check ID</t>
  </si>
  <si>
    <t>Area</t>
  </si>
  <si>
    <t>Item yang Diverifikasi</t>
  </si>
  <si>
    <t>Metode</t>
  </si>
  <si>
    <t>Expected Result</t>
  </si>
  <si>
    <t>Hasil</t>
  </si>
  <si>
    <t>Tester/Tanggal</t>
  </si>
  <si>
    <t>Catatan/Defect ID</t>
  </si>
  <si>
    <t>CHK-AUTH-001</t>
  </si>
  <si>
    <t>Scope</t>
  </si>
  <si>
    <t>Komponen halaman login lengkap</t>
  </si>
  <si>
    <t>Review + Test</t>
  </si>
  <si>
    <t>Field dan aksi sesuai SRS</t>
  </si>
  <si>
    <t>CHK-AUTH-002</t>
  </si>
  <si>
    <t>Flow</t>
  </si>
  <si>
    <t>Validasi field kosong sebelum request</t>
  </si>
  <si>
    <t>Functional test</t>
  </si>
  <si>
    <t>Pesan tampil dan request tidak dikirim</t>
  </si>
  <si>
    <t>CHK-AUTH-003</t>
  </si>
  <si>
    <t>Login dengan kredensial valid</t>
  </si>
  <si>
    <t>Positive test</t>
  </si>
  <si>
    <t>Masuk ke dashboard</t>
  </si>
  <si>
    <t>CHK-AUTH-004</t>
  </si>
  <si>
    <t>Login dengan kredensial invalid</t>
  </si>
  <si>
    <t>Ditolak dengan pesan generik</t>
  </si>
  <si>
    <t>CHK-AUTH-005</t>
  </si>
  <si>
    <t>Boundary</t>
  </si>
  <si>
    <t>FR-AUTH-004/005</t>
  </si>
  <si>
    <t>Percobaan gagal ke-1 sampai ke-5</t>
  </si>
  <si>
    <t>Lock tepat pada percobaan ke-5</t>
  </si>
  <si>
    <t>CHK-AUTH-006</t>
  </si>
  <si>
    <t>Recovery</t>
  </si>
  <si>
    <t>Akun terbuka setelah 15 menit/Admin unlock</t>
  </si>
  <si>
    <t>Time/Admin test</t>
  </si>
  <si>
    <t>User dapat mencoba login kembali</t>
  </si>
  <si>
    <t>CHK-AUTH-007</t>
  </si>
  <si>
    <t>Session unik dibuat setelah login</t>
  </si>
  <si>
    <t>API/DB test</t>
  </si>
  <si>
    <t>Session valid terkait user</t>
  </si>
  <si>
    <t>CHK-AUTH-008</t>
  </si>
  <si>
    <t>Idle timeout 30 menit</t>
  </si>
  <si>
    <t>Session invalid dan redirect login</t>
  </si>
  <si>
    <t>CHK-AUTH-009</t>
  </si>
  <si>
    <t>Back browser setelah logout</t>
  </si>
  <si>
    <t>Security test</t>
  </si>
  <si>
    <t>Halaman terproteksi tidak tampil</t>
  </si>
  <si>
    <t>CHK-AUTH-010</t>
  </si>
  <si>
    <t>Request reset untuk email valid/invalid</t>
  </si>
  <si>
    <t>Positive/negative</t>
  </si>
  <si>
    <t>Respons sama; email hanya untuk akun valid</t>
  </si>
  <si>
    <t>CHK-AUTH-011</t>
  </si>
  <si>
    <t>Token expired dan token reuse</t>
  </si>
  <si>
    <t>Keduanya ditolak</t>
  </si>
  <si>
    <t>CHK-AUTH-012</t>
  </si>
  <si>
    <t>Validation</t>
  </si>
  <si>
    <t>Kebijakan kompleksitas password</t>
  </si>
  <si>
    <t>Password lemah ditolak</t>
  </si>
  <si>
    <t>CHK-AUTH-013</t>
  </si>
  <si>
    <t>Menu per role</t>
  </si>
  <si>
    <t>Menu sesuai permission</t>
  </si>
  <si>
    <t>CHK-AUTH-014</t>
  </si>
  <si>
    <t>Akses URL/API tanpa permission</t>
  </si>
  <si>
    <t>403/deny dan tercatat</t>
  </si>
  <si>
    <t>CHK-AUTH-015</t>
  </si>
  <si>
    <t>Event login/logout/reset/lock tercatat</t>
  </si>
  <si>
    <t>Log review</t>
  </si>
  <si>
    <t>Seluruh event dan field wajib tersedia</t>
  </si>
  <si>
    <t>CHK-AUTH-016</t>
  </si>
  <si>
    <t>Data/ERD</t>
  </si>
  <si>
    <t>Password dan token tidak plain text</t>
  </si>
  <si>
    <t>DB/code review</t>
  </si>
  <si>
    <t>Hash + salt; tidak bocor di log</t>
  </si>
  <si>
    <t>CHK-AUTH-017</t>
  </si>
  <si>
    <t>Login 100 concurrent users</t>
  </si>
  <si>
    <t>Load test</t>
  </si>
  <si>
    <t>P95 ≤ 2 detik</t>
  </si>
  <si>
    <t>CHK-AUTH-018</t>
  </si>
  <si>
    <t>Pesan username/password salah identik</t>
  </si>
  <si>
    <t>UI test</t>
  </si>
  <si>
    <t>Tidak membocorkan keberadaan akun</t>
  </si>
  <si>
    <t>CHK-AUTH-019</t>
  </si>
  <si>
    <t>Browser yang didukung</t>
  </si>
  <si>
    <t>Cross-browser</t>
  </si>
  <si>
    <t>Lulus 2 versi mayor terakhir</t>
  </si>
  <si>
    <t>CHK-AUTH-020</t>
  </si>
  <si>
    <t>Error Handling</t>
  </si>
  <si>
    <t>FR-AUTH-003/006</t>
  </si>
  <si>
    <t>DB/auth service unavailable</t>
  </si>
  <si>
    <t>Resilience test</t>
  </si>
  <si>
    <t>Pesan aman; tidak ada partial session</t>
  </si>
  <si>
    <t>CHK-AUTH-021</t>
  </si>
  <si>
    <t>Regression</t>
  </si>
  <si>
    <t>ALL</t>
  </si>
  <si>
    <t>Fitur terdampak tetap berjalan</t>
  </si>
  <si>
    <t>Regression test</t>
  </si>
  <si>
    <t>Tidak ada regresi Critical/High</t>
  </si>
  <si>
    <t>CHK-AUTH-022</t>
  </si>
  <si>
    <t>Documentation</t>
  </si>
  <si>
    <t>SRS, API, ERD, test evidence konsisten</t>
  </si>
  <si>
    <t>Document review</t>
  </si>
  <si>
    <t>Versi dan referensi sinkron</t>
  </si>
  <si>
    <t>REQUIREMENT TRACEABILITY MATRIX</t>
  </si>
  <si>
    <t>Requirement ID</t>
  </si>
  <si>
    <t>Requirement Ringkas</t>
  </si>
  <si>
    <t>Flow Step</t>
  </si>
  <si>
    <t>Data Entity</t>
  </si>
  <si>
    <t>Req Status</t>
  </si>
  <si>
    <t>Check Result</t>
  </si>
  <si>
    <t>Coverage</t>
  </si>
  <si>
    <t>Halaman login</t>
  </si>
  <si>
    <t>Validasi input</t>
  </si>
  <si>
    <t>3,4</t>
  </si>
  <si>
    <t>CHK-AUTH-003/004</t>
  </si>
  <si>
    <t>Failed attempt</t>
  </si>
  <si>
    <t>4,5</t>
  </si>
  <si>
    <t>Account lock</t>
  </si>
  <si>
    <t>CHK-AUTH-005/006</t>
  </si>
  <si>
    <t>6,8</t>
  </si>
  <si>
    <t>CHK-AUTH-007/020</t>
  </si>
  <si>
    <t>Session timeout</t>
  </si>
  <si>
    <t>sessions/audit_logs</t>
  </si>
  <si>
    <t>CHK-AUTH-009/015</t>
  </si>
  <si>
    <t>Lupa password</t>
  </si>
  <si>
    <t>Reset password</t>
  </si>
  <si>
    <t>users/password_reset_tokens</t>
  </si>
  <si>
    <t>CHK-AUTH-011/012</t>
  </si>
  <si>
    <t>roles/user_roles</t>
  </si>
  <si>
    <t>CHK-AUTH-013/014</t>
  </si>
  <si>
    <t>Audit login</t>
  </si>
  <si>
    <t>6,10</t>
  </si>
  <si>
    <t>2–8</t>
  </si>
  <si>
    <t>Password storage</t>
  </si>
  <si>
    <t>3,4,12</t>
  </si>
  <si>
    <t>Event coverage</t>
  </si>
  <si>
    <t>5,6,10</t>
  </si>
  <si>
    <t>Secure message</t>
  </si>
  <si>
    <t>3,4,11</t>
  </si>
  <si>
    <t>CHK-AUTH-004/010/018</t>
  </si>
  <si>
    <t>PANDUAN MENYALIN KERANGKA UNTUK MODUL LAIN</t>
  </si>
  <si>
    <t>Langkah</t>
  </si>
  <si>
    <t>Yang Diubah</t>
  </si>
  <si>
    <t>Lokasi</t>
  </si>
  <si>
    <t>Output Minimum</t>
  </si>
  <si>
    <t>Quality Gate</t>
  </si>
  <si>
    <t>Duplikat sheet 01–06</t>
  </si>
  <si>
    <t>Tab sheet</t>
  </si>
  <si>
    <t>Satu set dokumen per modul</t>
  </si>
  <si>
    <t>Document Owner</t>
  </si>
  <si>
    <t>Nama/kode modul unik</t>
  </si>
  <si>
    <t>Ubah metadata modul</t>
  </si>
  <si>
    <t>00_Ringkasan</t>
  </si>
  <si>
    <t>Project, modul, kode, versi, owner</t>
  </si>
  <si>
    <t>PO/BA</t>
  </si>
  <si>
    <t>Versi terkontrol</t>
  </si>
  <si>
    <t>Definisikan scope dan aktor</t>
  </si>
  <si>
    <t>In/out scope, pre/post condition</t>
  </si>
  <si>
    <t>Disetujui business</t>
  </si>
  <si>
    <t>Tulis aturan bisnis &amp; NFR</t>
  </si>
  <si>
    <t>Rule terukur dan testable</t>
  </si>
  <si>
    <t>BA/Architect</t>
  </si>
  <si>
    <t>Tidak ambigu</t>
  </si>
  <si>
    <t>Daftar semua requirement</t>
  </si>
  <si>
    <t>ID unik dan acceptance criteria</t>
  </si>
  <si>
    <t>BA</t>
  </si>
  <si>
    <t>Semua fitur ter-cover</t>
  </si>
  <si>
    <t>Petakan happy path dan exception</t>
  </si>
  <si>
    <t>Step, decision, output, recovery</t>
  </si>
  <si>
    <t>Flow end-to-end</t>
  </si>
  <si>
    <t>Perbarui ERD/model data</t>
  </si>
  <si>
    <t>Entity, field, key, relasi, aturan</t>
  </si>
  <si>
    <t>Integritas dan security</t>
  </si>
  <si>
    <t>Turunkan item verifikasi</t>
  </si>
  <si>
    <t>Positive, negative, boundary, security</t>
  </si>
  <si>
    <t>Evidence diwajibkan</t>
  </si>
  <si>
    <t>Hubungkan semua artefak</t>
  </si>
  <si>
    <t>Req → flow → entity → check</t>
  </si>
  <si>
    <t>Coverage 100%</t>
  </si>
  <si>
    <t>Review dan approval</t>
  </si>
  <si>
    <t>Business, technical, security, QA, UAT</t>
  </si>
  <si>
    <t>Semua PIC</t>
  </si>
  <si>
    <t>Tidak ada Must gagal</t>
  </si>
  <si>
    <t>Konvensi ID</t>
  </si>
  <si>
    <t>Pola</t>
  </si>
  <si>
    <t>Contoh</t>
  </si>
  <si>
    <t>Wajib?</t>
  </si>
  <si>
    <t>Functional Requirement</t>
  </si>
  <si>
    <t>FR-[MODUL]-###</t>
  </si>
  <si>
    <t>FR-ORDER-001</t>
  </si>
  <si>
    <t>Ya</t>
  </si>
  <si>
    <t>Satu kebutuhan atomik per ID</t>
  </si>
  <si>
    <t>Non-functional Requirement</t>
  </si>
  <si>
    <t>NFR-[MODUL]-###</t>
  </si>
  <si>
    <t>NFR-ORDER-001</t>
  </si>
  <si>
    <t>Target harus terukur</t>
  </si>
  <si>
    <t>Architect</t>
  </si>
  <si>
    <t>BR-[MODUL]-###</t>
  </si>
  <si>
    <t>BR-ORDER-001</t>
  </si>
  <si>
    <t>Referensikan dari requirement</t>
  </si>
  <si>
    <t>Checksheet</t>
  </si>
  <si>
    <t>CHK-[MODUL]-###</t>
  </si>
  <si>
    <t>CHK-ORDER-001</t>
  </si>
  <si>
    <t>Minimal satu check per requirement</t>
  </si>
  <si>
    <t>Defect</t>
  </si>
  <si>
    <t>DEF-[MODUL]-###</t>
  </si>
  <si>
    <t>DEF-ORDER-001</t>
  </si>
  <si>
    <t>Jika gagal</t>
  </si>
  <si>
    <t>Tulis pada kolom catatan</t>
  </si>
  <si>
    <t>FR-AUTH-012/NFR-AUTH-004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</si>
</sst>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"/>
    </font>
    <font>
      <b/>
      <sz val="18"/>
      <color rgb="FFFFFFFF"/>
      <name val="Aptos"/>
    </font>
    <font>
      <b/>
      <sz val="12"/>
      <color rgb="FF1F4E78"/>
      <name val="Aptos"/>
    </font>
    <font>
      <b/>
      <sz val="10"/>
      <color theme="1"/>
      <name val="Aptos"/>
    </font>
    <font>
      <b/>
      <sz val="10"/>
      <color rgb="FF17365D"/>
      <name val="Aptos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83"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numFmt numFmtId="1" formatCode="0"/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E497D1-D53E-4550-9202-0FD0327DF342}" name="tblDocInfo" displayName="tblDocInfo" ref="A5:B12" totalsRowShown="0" headerRowDxfId="180" dataDxfId="179">
  <autoFilter ref="A5:B12" xr:uid="{72E497D1-D53E-4550-9202-0FD0327DF342}"/>
  <tableColumns count="2">
    <tableColumn id="1" xr3:uid="{D74A1315-D419-4254-AF3F-2E179EF955C4}" name="Informasi Dokumen" dataDxfId="182"/>
    <tableColumn id="2" xr3:uid="{03BA0644-55D6-481B-9C9F-E43122B90997}" name="Nilai" dataDxfId="18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B9161-1215-4AA9-BE86-02B19ACD1CFD}" name="tblNavigation" displayName="tblNavigation" ref="D5:H12" totalsRowShown="0" headerRowDxfId="173" dataDxfId="172">
  <autoFilter ref="D5:H12" xr:uid="{EEEB9161-1215-4AA9-BE86-02B19ACD1CFD}"/>
  <tableColumns count="5">
    <tableColumn id="1" xr3:uid="{126B3601-30C2-42D2-A25E-CDC79247A9B6}" name="Tujuan &amp; Navigasi" dataDxfId="178"/>
    <tableColumn id="2" xr3:uid="{04B1DBC4-1BC7-49FA-87B2-4A7F48F69017}" name="Keterangan" dataDxfId="177"/>
    <tableColumn id="3" xr3:uid="{10F2B7FD-4F57-4BF3-9810-899D4A290E91}" name="Status" dataDxfId="176"/>
    <tableColumn id="4" xr3:uid="{1E295681-5743-4B64-9020-2FE5604ADD59}" name="Owner" dataDxfId="175"/>
    <tableColumn id="5" xr3:uid="{4855920F-2253-4834-9737-71FADAB08050}" name="Catatan" dataDxfId="17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1DADCE-19DF-495F-A423-4E302994F170}" name="tblMetrics" displayName="tblMetrics" ref="A17:B21" totalsRowShown="0" headerRowDxfId="169" dataDxfId="168">
  <autoFilter ref="A17:B21" xr:uid="{631DADCE-19DF-495F-A423-4E302994F170}"/>
  <tableColumns count="2">
    <tableColumn id="1" xr3:uid="{3DEBB53D-3060-4A39-9BF4-EDE13DE26C68}" name="Metrik" dataDxfId="171"/>
    <tableColumn id="2" xr3:uid="{D475AF1E-57AF-4D06-B6FF-0252166CD39F}" name="Nilai" dataDxfId="17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73BBE5-AEE6-4754-BE95-DD9EF5889695}" name="tblApproval" displayName="tblApproval" ref="D17:H22" totalsRowShown="0" headerRowDxfId="162" dataDxfId="161">
  <autoFilter ref="D17:H22" xr:uid="{8F73BBE5-AEE6-4754-BE95-DD9EF5889695}"/>
  <tableColumns count="5">
    <tableColumn id="1" xr3:uid="{5FF96A7A-5F89-44E3-9456-F599379EEABA}" name="Gate Persetujuan" dataDxfId="167"/>
    <tableColumn id="2" xr3:uid="{A22627F5-38F9-4744-90BD-B641FB18F6B3}" name="PIC" dataDxfId="166"/>
    <tableColumn id="3" xr3:uid="{2651DA37-A049-41A9-B2F4-14F1DC453083}" name="Status" dataDxfId="165"/>
    <tableColumn id="4" xr3:uid="{BAB9E9DD-03A8-47FA-B7A1-35CD937DC42E}" name="Tanggal" dataDxfId="164"/>
    <tableColumn id="5" xr3:uid="{73C36D16-484B-4E2A-9D78-0729D66131EF}" name="Catatan" dataDxfId="16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48944E-33F7-4116-BC16-6487E110DB7F}" name="tblBusinessRules" displayName="tblBusinessRules" ref="A14:D21" totalsRowShown="0" headerRowDxfId="156" dataDxfId="155">
  <autoFilter ref="A14:D21" xr:uid="{7148944E-33F7-4116-BC16-6487E110DB7F}"/>
  <tableColumns count="4">
    <tableColumn id="1" xr3:uid="{491BD5EC-4C94-4C8B-A0E2-6AA98011C0D1}" name="ID" dataDxfId="160"/>
    <tableColumn id="2" xr3:uid="{90C39D6D-D1E6-45DB-AD9B-19E6B0D77F9E}" name="Aturan Bisnis" dataDxfId="159"/>
    <tableColumn id="3" xr3:uid="{6726BBCC-A9B9-4113-B76E-0A4C68C47227}" name="Parameter Contoh" dataDxfId="158"/>
    <tableColumn id="4" xr3:uid="{1D0A75F7-A7FB-4474-93ED-25F03F5B1294}" name="Verifikasi" dataDxfId="15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1DB5DB-6560-49FE-9D66-FE112B9AE739}" name="tblNFR" displayName="tblNFR" ref="A24:H30" totalsRowShown="0" headerRowDxfId="146" dataDxfId="145">
  <autoFilter ref="A24:H30" xr:uid="{5E1DB5DB-6560-49FE-9D66-FE112B9AE739}"/>
  <tableColumns count="8">
    <tableColumn id="1" xr3:uid="{82101808-9540-42A5-B820-01B3A7B485D4}" name="ID" dataDxfId="154"/>
    <tableColumn id="2" xr3:uid="{C0AF1252-B05D-45BE-A429-0960F30E53B3}" name="Kategori NFR" dataDxfId="153"/>
    <tableColumn id="3" xr3:uid="{45C4AAAD-9827-4019-8368-F0834DA77CA8}" name="Kebutuhan" dataDxfId="152"/>
    <tableColumn id="4" xr3:uid="{66BE4987-A186-46C3-A0B1-F306B8FA978F}" name="Target" dataDxfId="151"/>
    <tableColumn id="5" xr3:uid="{D360BAF1-5907-444A-A4D4-BF3CD7239245}" name="Metode Ukur" dataDxfId="150"/>
    <tableColumn id="6" xr3:uid="{8879F5D7-1AE4-47AD-98E0-CF12C0644CCB}" name="Priority" dataDxfId="149"/>
    <tableColumn id="7" xr3:uid="{0359587B-38C6-4FF6-9FAD-F023AD6E87B9}" name="Owner" dataDxfId="148"/>
    <tableColumn id="8" xr3:uid="{03F7E2B4-2C8A-473D-8555-E6157FB2DAD3}" name="Status" dataDxfId="14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9FEFDA-FF89-4CEE-8C88-65611ECB563E}" name="tblRequirements" displayName="tblRequirements" ref="A4:J20" totalsRowShown="0" headerRowDxfId="137" dataDxfId="136">
  <autoFilter ref="A4:J20" xr:uid="{D69FEFDA-FF89-4CEE-8C88-65611ECB563E}"/>
  <tableColumns count="10">
    <tableColumn id="1" xr3:uid="{E327F11C-0C71-4EFA-9E2C-C592B4B8D81B}" name="Req ID" dataDxfId="144"/>
    <tableColumn id="2" xr3:uid="{13F8D096-9C35-4806-9A85-0F145829B342}" name="Kategori" dataDxfId="143"/>
    <tableColumn id="3" xr3:uid="{6782419E-BA2B-4871-9DE3-E8FB385B7275}" name="Fitur" dataDxfId="104"/>
    <tableColumn id="4" xr3:uid="{1177C088-CB38-4215-A910-4DD10131DF58}" name="Deskripsi Requirement" dataDxfId="103"/>
    <tableColumn id="5" xr3:uid="{2BF00666-D3EF-4107-96D4-078982282A66}" name="Priority" dataDxfId="142"/>
    <tableColumn id="6" xr3:uid="{1CB30B75-87C3-4788-9980-B79A06C31568}" name="Sumber" dataDxfId="141"/>
    <tableColumn id="7" xr3:uid="{DCEE3880-7FB7-4F1C-A890-0D9B35E88247}" name="Acceptance Criteria" dataDxfId="102"/>
    <tableColumn id="8" xr3:uid="{7304D604-D665-4449-A9AD-3F2CA7D64B19}" name="Status" dataDxfId="140"/>
    <tableColumn id="9" xr3:uid="{FBE536AD-26E9-43F9-AB21-D905B3F126CF}" name="PIC" dataDxfId="139"/>
    <tableColumn id="10" xr3:uid="{4B225D6D-AFCC-456A-9E27-654503140845}" name="Evidence/Link" dataDxfId="13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83F745-2B62-4880-8CCB-EC3704F67054}" name="tblProcessFlow" displayName="tblProcessFlow" ref="A4:I16" totalsRowShown="0" headerRowDxfId="132" dataDxfId="131">
  <autoFilter ref="A4:I16" xr:uid="{3283F745-2B62-4880-8CCB-EC3704F67054}"/>
  <tableColumns count="9">
    <tableColumn id="1" xr3:uid="{62FF37C1-8C04-49A4-84D8-C78D20746D00}" name="Step" dataDxfId="135"/>
    <tableColumn id="2" xr3:uid="{195836C6-AA6C-46EC-90E4-2E60F154F0C6}" name="Aktor" dataDxfId="134"/>
    <tableColumn id="3" xr3:uid="{43A195E5-20C6-4337-8521-C08ECEB71975}" name="Input/Trigger" dataDxfId="101"/>
    <tableColumn id="4" xr3:uid="{F2379C5A-0D1E-4646-B461-73A86541D9C1}" name="Proses Sistem" dataDxfId="100"/>
    <tableColumn id="5" xr3:uid="{A44C9630-F45F-4354-ADDA-85367B894E9D}" name="Keputusan" dataDxfId="99"/>
    <tableColumn id="6" xr3:uid="{088AE245-84B8-4F1E-BAB1-B36AE4884B74}" name="Output" dataDxfId="98"/>
    <tableColumn id="7" xr3:uid="{1593C03C-206C-4CC5-BB61-8150D93A1157}" name="Exception/Recovery" dataDxfId="97"/>
    <tableColumn id="8" xr3:uid="{D7742E72-4C5A-42B7-B557-BE6ADB6226F6}" name="Req Ref" dataDxfId="96"/>
    <tableColumn id="9" xr3:uid="{8B759D6F-B512-4F30-9F22-25CEEB633F82}" name="Verified?" dataDxfId="13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E5151D-6B0F-4F19-B969-C351626C8282}" name="tblDataDictionary" displayName="tblDataDictionary" ref="A4:H25" totalsRowShown="0" headerRowDxfId="124" dataDxfId="123">
  <autoFilter ref="A4:H25" xr:uid="{EFE5151D-6B0F-4F19-B969-C351626C8282}"/>
  <tableColumns count="8">
    <tableColumn id="1" xr3:uid="{D0A806E6-EFA1-46DB-8947-C1D556AF893E}" name="Entity" dataDxfId="130"/>
    <tableColumn id="2" xr3:uid="{F6A0F765-D934-4300-9A76-9982169575E8}" name="Attribute" dataDxfId="129"/>
    <tableColumn id="3" xr3:uid="{38D124A0-69A8-4ACA-8538-3335825D8F50}" name="Key" dataDxfId="128"/>
    <tableColumn id="4" xr3:uid="{418CF584-851C-4C58-BF59-189479419DB3}" name="Data Type" dataDxfId="127"/>
    <tableColumn id="5" xr3:uid="{ED9A0FC5-6217-4DDD-A32F-4BA417DA8A42}" name="Nullable" dataDxfId="126"/>
    <tableColumn id="6" xr3:uid="{9947E07E-B2EB-421A-849A-ECF3285A60FF}" name="Default" dataDxfId="125"/>
    <tableColumn id="7" xr3:uid="{2EF68F00-C5E0-4284-8543-1E0EE1CBB598}" name="Business Rule" dataDxfId="95"/>
    <tableColumn id="8" xr3:uid="{BF907335-0476-444E-91DD-AAC4A631DFFA}" name="Req Ref" dataDxfId="9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0B0F2E5-0876-40B3-99CD-33C143C0C7FC}" name="tblRelationships" displayName="tblRelationships" ref="J4:N10" totalsRowShown="0" headerRowDxfId="122" dataDxfId="88">
  <autoFilter ref="J4:N10" xr:uid="{60B0F2E5-0876-40B3-99CD-33C143C0C7FC}"/>
  <tableColumns count="5">
    <tableColumn id="1" xr3:uid="{CFC8FC5D-9981-4B35-9961-C7A7B157333B}" name="Parent Entity" dataDxfId="93"/>
    <tableColumn id="2" xr3:uid="{FD6BD2A7-F15D-4F69-B1B0-E37D5718851A}" name="Relationship" dataDxfId="92"/>
    <tableColumn id="3" xr3:uid="{45005CE4-DEBB-4759-AE7C-DDB07EF9FE89}" name="Child Entity" dataDxfId="91"/>
    <tableColumn id="4" xr3:uid="{D05619A3-A38D-4A0D-A5BD-BF16FE484718}" name="Cardinality" dataDxfId="90"/>
    <tableColumn id="5" xr3:uid="{29C88747-1A7E-4F2C-AFEA-9536605CC46D}" name="Integrity Rule" dataDxfId="8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5D9BD75-3009-491F-A5F4-A91F376AE67B}" name="tblERDCheck" displayName="tblERDCheck" ref="J13:N20" totalsRowShown="0" headerRowDxfId="82" dataDxfId="81">
  <autoFilter ref="J13:N20" xr:uid="{A5D9BD75-3009-491F-A5F4-A91F376AE67B}"/>
  <tableColumns count="5">
    <tableColumn id="1" xr3:uid="{FD733C2E-245F-4CA4-A9A6-F2941C2210D3}" name="ERD Verification" dataDxfId="87"/>
    <tableColumn id="2" xr3:uid="{A70740A8-7F52-449E-A5B0-3F4235716DD4}" name="Expected" dataDxfId="86"/>
    <tableColumn id="3" xr3:uid="{CA154ACB-B0BC-438F-8088-5800698369C4}" name="Status" dataDxfId="85"/>
    <tableColumn id="4" xr3:uid="{83C1AD15-076D-4DA4-BE1F-DC14EFB60CC7}" name="Reviewer" dataDxfId="84"/>
    <tableColumn id="5" xr3:uid="{D1F51FD3-DB7F-4231-81C4-D6111745C56C}" name="Evidence" dataDxfId="8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9D7A3F-0FDD-41DC-A8D4-5687EF5AA3E4}" name="tblChecksheet" displayName="tblChecksheet" ref="A4:J26" totalsRowShown="0" headerRowDxfId="118" dataDxfId="117">
  <autoFilter ref="A4:J26" xr:uid="{589D7A3F-0FDD-41DC-A8D4-5687EF5AA3E4}"/>
  <tableColumns count="10">
    <tableColumn id="1" xr3:uid="{97292136-8419-46AA-B4AF-078E1533D7C7}" name="Check ID" dataDxfId="121"/>
    <tableColumn id="2" xr3:uid="{AE2B7494-B276-4F25-939D-1E188DE187D0}" name="Area" dataDxfId="120"/>
    <tableColumn id="3" xr3:uid="{AD680416-73C1-4E38-A4B4-2C74997864AF}" name="Req Ref" dataDxfId="119"/>
    <tableColumn id="4" xr3:uid="{A6198BC7-DFAF-481C-8813-FE9879853844}" name="Item yang Diverifikasi" dataDxfId="80"/>
    <tableColumn id="5" xr3:uid="{9E66D53E-6F56-400F-9845-FB6F89B25F90}" name="Metode" dataDxfId="79"/>
    <tableColumn id="6" xr3:uid="{A8D01E79-AF01-4360-804D-ADAA71350DC1}" name="Expected Result" dataDxfId="78"/>
    <tableColumn id="7" xr3:uid="{2FB61832-7D5C-4BCE-A108-5C0AF33F6366}" name="Hasil" dataDxfId="77"/>
    <tableColumn id="8" xr3:uid="{98F3B072-9926-4C89-AC95-55996A7B1735}" name="Evidence" dataDxfId="76"/>
    <tableColumn id="9" xr3:uid="{6707A03C-6DA7-4F28-A42F-738B0D2D560D}" name="Tester/Tanggal" dataDxfId="75"/>
    <tableColumn id="10" xr3:uid="{E0544193-04EF-402B-877E-99B1B82D1C72}" name="Catatan/Defect ID" dataDxfId="7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1C97B54-6266-45E9-8F1B-C7261E051944}" name="tblTraceability" displayName="tblTraceability" ref="A4:H20" totalsRowShown="0" headerRowDxfId="112" dataDxfId="111">
  <autoFilter ref="A4:H20" xr:uid="{81C97B54-6266-45E9-8F1B-C7261E051944}"/>
  <tableColumns count="8">
    <tableColumn id="1" xr3:uid="{03ABCA1F-1608-46AE-B93E-A7B1B53821CD}" name="Requirement ID" dataDxfId="116"/>
    <tableColumn id="2" xr3:uid="{F8932A4A-47E2-4F02-BCC3-681C60FABD85}" name="Requirement Ringkas" dataDxfId="73"/>
    <tableColumn id="3" xr3:uid="{14AF38C2-A24D-4E13-BBC7-D8167E071A10}" name="Flow Step" dataDxfId="72"/>
    <tableColumn id="4" xr3:uid="{E9F9B2E5-9A5D-4DBE-826C-3D6B2DA19896}" name="Data Entity" dataDxfId="71"/>
    <tableColumn id="5" xr3:uid="{031380C4-6E11-4DEA-B75A-AE29C56505F2}" name="Check ID" dataDxfId="70"/>
    <tableColumn id="6" xr3:uid="{2C574D33-14C1-4A3B-872B-CF71413C2A2C}" name="Req Status" dataDxfId="115">
      <calculatedColumnFormula>_xlfn.IFNA(_xlfn.XLOOKUP(A5,'02_Requirements'!$A$5:$A$20,'02_Requirements'!$H$5:$H$20),"Missing")</calculatedColumnFormula>
    </tableColumn>
    <tableColumn id="7" xr3:uid="{8BBEFFE2-50E9-4075-8E56-F88BB6CBAA17}" name="Check Result" dataDxfId="114">
      <calculatedColumnFormula>IF(COUNTIF('05_Checksheet'!$C$5:$C$26,"*"&amp;A5&amp;"*")=0,"No Check",IF(COUNTIFS('05_Checksheet'!$C$5:$C$26,"*"&amp;A5&amp;"*",'05_Checksheet'!$G$5:$G$26,"Fail")&gt;0,"Fail",IF(COUNTIFS('05_Checksheet'!$C$5:$C$26,"*"&amp;A5&amp;"*",'05_Checksheet'!$G$5:$G$26,"Pass")=COUNTIF('05_Checksheet'!$C$5:$C$26,"*"&amp;A5&amp;"*"),"Pass","Belum")))</calculatedColumnFormula>
    </tableColumn>
    <tableColumn id="8" xr3:uid="{D0017C23-1935-4B67-B777-73E41FDAACA1}" name="Coverage" dataDxfId="113">
      <calculatedColumnFormula>IF(AND(C5&lt;&gt;"",D5&lt;&gt;"",E5&lt;&gt;"",F5&lt;&gt;"Missing",G5&lt;&gt;"No Check"),"Covered","Gap")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F3C2C5A-4571-4DE4-9AF2-DD35B1280238}" name="tblCopyGuide" displayName="tblCopyGuide" ref="A4:F14" totalsRowShown="0" headerRowDxfId="109" dataDxfId="108">
  <autoFilter ref="A4:F14" xr:uid="{2F3C2C5A-4571-4DE4-9AF2-DD35B1280238}"/>
  <tableColumns count="6">
    <tableColumn id="1" xr3:uid="{F868AE39-50E5-4A99-969E-668207216B91}" name="Langkah" dataDxfId="110"/>
    <tableColumn id="2" xr3:uid="{BE254C88-DC86-4F4F-8A89-96B915395CF9}" name="Yang Diubah" dataDxfId="69"/>
    <tableColumn id="3" xr3:uid="{0AA99275-E16A-4BA7-A9CE-B2E66BAD23F0}" name="Lokasi" dataDxfId="68"/>
    <tableColumn id="4" xr3:uid="{9F0E1734-4569-4772-BEA9-F77B4B8296F5}" name="Output Minimum" dataDxfId="67"/>
    <tableColumn id="5" xr3:uid="{44337662-2269-4BB2-894D-0E65D50E080A}" name="Owner" dataDxfId="66"/>
    <tableColumn id="6" xr3:uid="{AF49F17A-3DB8-4650-8E50-912F0B1BAFDE}" name="Quality Gate" dataDxfId="6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776C03-CD6E-4366-BC34-F0FA0CC1C974}" name="tblIDConvention" displayName="tblIDConvention" ref="A17:F22" totalsRowShown="0" headerRowDxfId="106" dataDxfId="105">
  <autoFilter ref="A17:F22" xr:uid="{59776C03-CD6E-4366-BC34-F0FA0CC1C974}"/>
  <tableColumns count="6">
    <tableColumn id="1" xr3:uid="{75DB67A0-9D71-4E4F-A881-FD2EA54CF319}" name="Konvensi ID" dataDxfId="107"/>
    <tableColumn id="2" xr3:uid="{96AA9DFA-06F2-422B-AF4A-4C97B4B68CCE}" name="Pola" dataDxfId="64"/>
    <tableColumn id="3" xr3:uid="{30CA9BAC-FE26-4745-A587-31D28BB9C85E}" name="Contoh" dataDxfId="63"/>
    <tableColumn id="4" xr3:uid="{5E800DEF-7C85-42BC-80DA-8269CE85C14C}" name="Wajib?" dataDxfId="62"/>
    <tableColumn id="5" xr3:uid="{05DAD062-FF1A-4A2B-816B-0D95E4DD1661}" name="Catatan" dataDxfId="61"/>
    <tableColumn id="6" xr3:uid="{08204F31-41EE-4343-B2E9-A27E9BC493E2}" name="Owner" dataDxfId="6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3887474-EEAB-4383-9C8E-BBE6E5B5C03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607a04c-75b2-4120-b833-bf4c7c7b350e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EB035D7-4EAD-4F47-BFBC-F8990C69325D}">
  <we:reference id="wa200010215" version="2.0.0.1" store="en-US" storeType="OMEX"/>
  <we:alternateReferences>
    <we:reference id="WA200010215" version="2.0.0.1" store="WA200010215" storeType="OMEX"/>
  </we:alternateReferences>
  <we:properties>
    <we:property name="bps.codex_control.document_id" value="&quot;0c45c91b-6de0-43ee-b5ac-6f9fd36259b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6DF1-35A6-419C-9115-26492B0C7D3D}">
  <sheetPr>
    <tabColor rgb="FF17365D"/>
  </sheetPr>
  <dimension ref="A1:H22"/>
  <sheetViews>
    <sheetView showGridLines="0" tabSelected="1" topLeftCell="A3" workbookViewId="0">
      <selection activeCell="E30" sqref="E30"/>
    </sheetView>
  </sheetViews>
  <sheetFormatPr defaultRowHeight="14.4" x14ac:dyDescent="0.3"/>
  <cols>
    <col min="1" max="1" width="26.88671875" customWidth="1"/>
    <col min="2" max="2" width="27.77734375" customWidth="1"/>
    <col min="3" max="3" width="3.33203125" customWidth="1"/>
    <col min="4" max="4" width="25" customWidth="1"/>
    <col min="5" max="5" width="42.5546875" customWidth="1"/>
    <col min="6" max="6" width="14.77734375" customWidth="1"/>
    <col min="7" max="7" width="18.5546875" customWidth="1"/>
    <col min="8" max="8" width="27.77734375" customWidth="1"/>
  </cols>
  <sheetData>
    <row r="1" spans="1:8" x14ac:dyDescent="0.3">
      <c r="A1" s="5" t="s">
        <v>1</v>
      </c>
      <c r="B1" s="5"/>
      <c r="C1" s="5"/>
      <c r="D1" s="5"/>
      <c r="E1" s="5"/>
      <c r="F1" s="5"/>
      <c r="G1" s="5"/>
      <c r="H1" s="5"/>
    </row>
    <row r="2" spans="1:8" x14ac:dyDescent="0.3">
      <c r="A2" s="5"/>
      <c r="B2" s="5"/>
      <c r="C2" s="5"/>
      <c r="D2" s="5"/>
      <c r="E2" s="5"/>
      <c r="F2" s="5"/>
      <c r="G2" s="5"/>
      <c r="H2" s="5"/>
    </row>
    <row r="3" spans="1:8" ht="15.6" x14ac:dyDescent="0.3">
      <c r="A3" s="6" t="s">
        <v>2</v>
      </c>
      <c r="B3" s="6"/>
      <c r="C3" s="6"/>
      <c r="D3" s="6"/>
      <c r="E3" s="6"/>
      <c r="F3" s="6"/>
      <c r="G3" s="6"/>
      <c r="H3" s="6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1" t="s">
        <v>3</v>
      </c>
      <c r="B5" s="1" t="s">
        <v>4</v>
      </c>
      <c r="C5" s="1"/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</row>
    <row r="6" spans="1:8" x14ac:dyDescent="0.3">
      <c r="A6" s="1" t="s">
        <v>5</v>
      </c>
      <c r="B6" s="1" t="s">
        <v>0</v>
      </c>
      <c r="C6" s="1"/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</row>
    <row r="7" spans="1:8" x14ac:dyDescent="0.3">
      <c r="A7" s="1" t="s">
        <v>6</v>
      </c>
      <c r="B7" s="1" t="s">
        <v>7</v>
      </c>
      <c r="C7" s="1"/>
      <c r="D7" s="1" t="s">
        <v>26</v>
      </c>
      <c r="E7" s="1" t="s">
        <v>27</v>
      </c>
      <c r="F7" s="1" t="s">
        <v>23</v>
      </c>
      <c r="G7" s="1" t="s">
        <v>24</v>
      </c>
      <c r="H7" s="1" t="s">
        <v>28</v>
      </c>
    </row>
    <row r="8" spans="1:8" x14ac:dyDescent="0.3">
      <c r="A8" s="1" t="s">
        <v>8</v>
      </c>
      <c r="B8" s="1" t="s">
        <v>9</v>
      </c>
      <c r="C8" s="1"/>
      <c r="D8" s="1" t="s">
        <v>29</v>
      </c>
      <c r="E8" s="1" t="s">
        <v>30</v>
      </c>
      <c r="F8" s="1" t="s">
        <v>23</v>
      </c>
      <c r="G8" s="1" t="s">
        <v>31</v>
      </c>
      <c r="H8" s="1" t="s">
        <v>32</v>
      </c>
    </row>
    <row r="9" spans="1:8" x14ac:dyDescent="0.3">
      <c r="A9" s="1" t="s">
        <v>10</v>
      </c>
      <c r="B9" s="1">
        <v>1</v>
      </c>
      <c r="C9" s="1"/>
      <c r="D9" s="1" t="s">
        <v>33</v>
      </c>
      <c r="E9" s="1" t="s">
        <v>34</v>
      </c>
      <c r="F9" s="1" t="s">
        <v>23</v>
      </c>
      <c r="G9" s="1" t="s">
        <v>35</v>
      </c>
      <c r="H9" s="1" t="s">
        <v>36</v>
      </c>
    </row>
    <row r="10" spans="1:8" x14ac:dyDescent="0.3">
      <c r="A10" s="1" t="s">
        <v>11</v>
      </c>
      <c r="B10" s="1" t="s">
        <v>12</v>
      </c>
      <c r="C10" s="1"/>
      <c r="D10" s="1" t="s">
        <v>37</v>
      </c>
      <c r="E10" s="1" t="s">
        <v>38</v>
      </c>
      <c r="F10" s="1" t="s">
        <v>39</v>
      </c>
      <c r="G10" s="1" t="s">
        <v>40</v>
      </c>
      <c r="H10" s="1" t="s">
        <v>41</v>
      </c>
    </row>
    <row r="11" spans="1:8" x14ac:dyDescent="0.3">
      <c r="A11" s="1" t="s">
        <v>13</v>
      </c>
      <c r="B11" s="1" t="s">
        <v>14</v>
      </c>
      <c r="C11" s="1"/>
      <c r="D11" s="1" t="s">
        <v>42</v>
      </c>
      <c r="E11" s="1" t="s">
        <v>43</v>
      </c>
      <c r="F11" s="1" t="s">
        <v>39</v>
      </c>
      <c r="G11" s="1" t="s">
        <v>44</v>
      </c>
      <c r="H11" s="1" t="s">
        <v>45</v>
      </c>
    </row>
    <row r="12" spans="1:8" x14ac:dyDescent="0.3">
      <c r="A12" s="1" t="s">
        <v>15</v>
      </c>
      <c r="B12" s="2">
        <v>46282</v>
      </c>
      <c r="C12" s="1"/>
      <c r="D12" s="1" t="s">
        <v>46</v>
      </c>
      <c r="E12" s="1" t="s">
        <v>47</v>
      </c>
      <c r="F12" s="1" t="s">
        <v>48</v>
      </c>
      <c r="G12" s="1" t="s">
        <v>49</v>
      </c>
      <c r="H12" s="1" t="s">
        <v>50</v>
      </c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7" t="s">
        <v>51</v>
      </c>
      <c r="B15" s="7"/>
      <c r="C15" s="7"/>
      <c r="D15" s="7"/>
      <c r="E15" s="7"/>
      <c r="F15" s="7"/>
      <c r="G15" s="7"/>
      <c r="H15" s="7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 t="s">
        <v>52</v>
      </c>
      <c r="B17" s="1" t="s">
        <v>4</v>
      </c>
      <c r="C17" s="1"/>
      <c r="D17" s="1" t="s">
        <v>57</v>
      </c>
      <c r="E17" s="1" t="s">
        <v>58</v>
      </c>
      <c r="F17" s="1" t="s">
        <v>18</v>
      </c>
      <c r="G17" s="1" t="s">
        <v>59</v>
      </c>
      <c r="H17" s="1" t="s">
        <v>20</v>
      </c>
    </row>
    <row r="18" spans="1:8" x14ac:dyDescent="0.3">
      <c r="A18" s="1" t="s">
        <v>53</v>
      </c>
      <c r="B18" s="3">
        <f>COUNTA('02_Requirements'!A5:A20)</f>
        <v>16</v>
      </c>
      <c r="C18" s="1"/>
      <c r="D18" s="1" t="s">
        <v>60</v>
      </c>
      <c r="E18" s="1" t="s">
        <v>61</v>
      </c>
      <c r="F18" s="1" t="s">
        <v>62</v>
      </c>
      <c r="G18" s="1"/>
      <c r="H18" s="1"/>
    </row>
    <row r="19" spans="1:8" x14ac:dyDescent="0.3">
      <c r="A19" s="1" t="s">
        <v>54</v>
      </c>
      <c r="B19" s="3">
        <f>COUNTIF('02_Requirements'!H5:H20,"Approved")</f>
        <v>0</v>
      </c>
      <c r="C19" s="1"/>
      <c r="D19" s="1" t="s">
        <v>63</v>
      </c>
      <c r="E19" s="1" t="s">
        <v>64</v>
      </c>
      <c r="F19" s="1" t="s">
        <v>62</v>
      </c>
      <c r="G19" s="1"/>
      <c r="H19" s="1"/>
    </row>
    <row r="20" spans="1:8" x14ac:dyDescent="0.3">
      <c r="A20" s="1" t="s">
        <v>55</v>
      </c>
      <c r="B20" s="3">
        <f>COUNTIF('05_Checksheet'!G5:G26,"Pass")</f>
        <v>0</v>
      </c>
      <c r="C20" s="1"/>
      <c r="D20" s="1" t="s">
        <v>65</v>
      </c>
      <c r="E20" s="1" t="s">
        <v>66</v>
      </c>
      <c r="F20" s="1" t="s">
        <v>62</v>
      </c>
      <c r="G20" s="1"/>
      <c r="H20" s="1"/>
    </row>
    <row r="21" spans="1:8" x14ac:dyDescent="0.3">
      <c r="A21" s="1" t="s">
        <v>56</v>
      </c>
      <c r="B21" s="4">
        <f>IFERROR(COUNTIF('06_Traceability'!H5:H20,"Covered")/COUNTA('06_Traceability'!A5:A20),0)</f>
        <v>1</v>
      </c>
      <c r="C21" s="1"/>
      <c r="D21" s="1" t="s">
        <v>67</v>
      </c>
      <c r="E21" s="1" t="s">
        <v>68</v>
      </c>
      <c r="F21" s="1" t="s">
        <v>62</v>
      </c>
      <c r="G21" s="1"/>
      <c r="H21" s="1"/>
    </row>
    <row r="22" spans="1:8" x14ac:dyDescent="0.3">
      <c r="A22" s="1"/>
      <c r="B22" s="1"/>
      <c r="C22" s="1"/>
      <c r="D22" s="1" t="s">
        <v>69</v>
      </c>
      <c r="E22" s="1" t="s">
        <v>70</v>
      </c>
      <c r="F22" s="1" t="s">
        <v>62</v>
      </c>
      <c r="G22" s="1"/>
      <c r="H22" s="1"/>
    </row>
  </sheetData>
  <mergeCells count="3">
    <mergeCell ref="A1:H2"/>
    <mergeCell ref="A3:H3"/>
    <mergeCell ref="A15:H15"/>
  </mergeCells>
  <conditionalFormatting sqref="F18:F22">
    <cfRule type="expression" dxfId="9" priority="1">
      <formula>F18="Pass"</formula>
    </cfRule>
  </conditionalFormatting>
  <conditionalFormatting sqref="F18:F22">
    <cfRule type="expression" dxfId="8" priority="2">
      <formula>F18="Approved"</formula>
    </cfRule>
  </conditionalFormatting>
  <conditionalFormatting sqref="F18:F22">
    <cfRule type="expression" dxfId="7" priority="3">
      <formula>F18="Covered"</formula>
    </cfRule>
  </conditionalFormatting>
  <conditionalFormatting sqref="F18:F22">
    <cfRule type="expression" dxfId="6" priority="4">
      <formula>F18="Fail"</formula>
    </cfRule>
  </conditionalFormatting>
  <conditionalFormatting sqref="F18:F22">
    <cfRule type="expression" dxfId="5" priority="5">
      <formula>F18="Rejected"</formula>
    </cfRule>
  </conditionalFormatting>
  <conditionalFormatting sqref="F18:F22">
    <cfRule type="expression" dxfId="4" priority="6">
      <formula>F18="Gap"</formula>
    </cfRule>
  </conditionalFormatting>
  <conditionalFormatting sqref="F18:F22">
    <cfRule type="expression" dxfId="3" priority="7">
      <formula>F18="Belum"</formula>
    </cfRule>
  </conditionalFormatting>
  <conditionalFormatting sqref="F18:F22">
    <cfRule type="expression" dxfId="2" priority="8">
      <formula>F18="Draft"</formula>
    </cfRule>
  </conditionalFormatting>
  <conditionalFormatting sqref="F18:F22">
    <cfRule type="expression" dxfId="1" priority="9">
      <formula>F18="Review"</formula>
    </cfRule>
  </conditionalFormatting>
  <conditionalFormatting sqref="F18:F22">
    <cfRule type="expression" dxfId="0" priority="10">
      <formula>F18="Open"</formula>
    </cfRule>
  </conditionalFormatting>
  <conditionalFormatting sqref="B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{1260D8C3-E27B-454F-940B-98EDDB1F85B8}</x14:id>
        </ext>
      </extLst>
    </cfRule>
  </conditionalFormatting>
  <dataValidations count="1">
    <dataValidation type="list" allowBlank="1" showInputMessage="1" showErrorMessage="1" sqref="F18:F22" xr:uid="{658AF55D-7E63-452C-8C00-61A6FC61C137}">
      <formula1>"Open,Approved,Rejected,N/A"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60D8C3-E27B-454F-940B-98EDDB1F85B8}">
            <x14:dataBar minLength="0" maxLength="100" negativeBarColorSameAsPositive="1" axisPosition="none">
              <x14:cfvo type="min"/>
              <x14:cfvo type="max"/>
            </x14:dataBar>
          </x14:cfRule>
          <xm:sqref>B21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93F53-44DF-4C92-94E4-1C52C85A16F9}">
  <sheetPr>
    <tabColor rgb="FF2F75B5"/>
  </sheetPr>
  <dimension ref="A1:H30"/>
  <sheetViews>
    <sheetView showGridLines="0" workbookViewId="0">
      <selection activeCell="H9" sqref="H9"/>
    </sheetView>
  </sheetViews>
  <sheetFormatPr defaultRowHeight="14.4" x14ac:dyDescent="0.3"/>
  <cols>
    <col min="1" max="1" width="22.21875" customWidth="1"/>
    <col min="2" max="2" width="66.6640625" customWidth="1"/>
    <col min="3" max="3" width="20.33203125" customWidth="1"/>
    <col min="4" max="4" width="35.21875" customWidth="1"/>
    <col min="5" max="8" width="19.44140625" customWidth="1"/>
  </cols>
  <sheetData>
    <row r="1" spans="1:8" x14ac:dyDescent="0.3">
      <c r="A1" s="5" t="s">
        <v>71</v>
      </c>
      <c r="B1" s="5"/>
      <c r="C1" s="5"/>
      <c r="D1" s="5"/>
      <c r="E1" s="5"/>
      <c r="F1" s="5"/>
      <c r="G1" s="5"/>
      <c r="H1" s="5"/>
    </row>
    <row r="2" spans="1:8" x14ac:dyDescent="0.3">
      <c r="A2" s="5"/>
      <c r="B2" s="5"/>
      <c r="C2" s="5"/>
      <c r="D2" s="5"/>
      <c r="E2" s="5"/>
      <c r="F2" s="5"/>
      <c r="G2" s="5"/>
      <c r="H2" s="5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ht="27.6" x14ac:dyDescent="0.3">
      <c r="A4" s="8" t="s">
        <v>72</v>
      </c>
      <c r="B4" s="9" t="s">
        <v>73</v>
      </c>
      <c r="C4" s="9" t="s">
        <v>19</v>
      </c>
      <c r="D4" s="9" t="s">
        <v>61</v>
      </c>
      <c r="E4" s="1"/>
      <c r="F4" s="1"/>
      <c r="G4" s="1"/>
      <c r="H4" s="1"/>
    </row>
    <row r="5" spans="1:8" ht="27.6" x14ac:dyDescent="0.3">
      <c r="A5" s="8" t="s">
        <v>74</v>
      </c>
      <c r="B5" s="9" t="s">
        <v>75</v>
      </c>
      <c r="C5" s="9" t="s">
        <v>76</v>
      </c>
      <c r="D5" s="9" t="s">
        <v>77</v>
      </c>
      <c r="E5" s="1"/>
      <c r="F5" s="1"/>
      <c r="G5" s="1"/>
      <c r="H5" s="1"/>
    </row>
    <row r="6" spans="1:8" ht="27.6" x14ac:dyDescent="0.3">
      <c r="A6" s="8" t="s">
        <v>78</v>
      </c>
      <c r="B6" s="9" t="s">
        <v>79</v>
      </c>
      <c r="C6" s="9" t="s">
        <v>80</v>
      </c>
      <c r="D6" s="9" t="s">
        <v>81</v>
      </c>
      <c r="E6" s="1"/>
      <c r="F6" s="1"/>
      <c r="G6" s="1"/>
      <c r="H6" s="1"/>
    </row>
    <row r="7" spans="1:8" x14ac:dyDescent="0.3">
      <c r="A7" s="8" t="s">
        <v>82</v>
      </c>
      <c r="B7" s="9" t="s">
        <v>83</v>
      </c>
      <c r="C7" s="9" t="s">
        <v>84</v>
      </c>
      <c r="D7" s="9" t="s">
        <v>85</v>
      </c>
      <c r="E7" s="1"/>
      <c r="F7" s="1"/>
      <c r="G7" s="1"/>
      <c r="H7" s="1"/>
    </row>
    <row r="8" spans="1:8" ht="27.6" x14ac:dyDescent="0.3">
      <c r="A8" s="8" t="s">
        <v>86</v>
      </c>
      <c r="B8" s="9" t="s">
        <v>87</v>
      </c>
      <c r="C8" s="9" t="s">
        <v>88</v>
      </c>
      <c r="D8" s="9" t="s">
        <v>89</v>
      </c>
      <c r="E8" s="1"/>
      <c r="F8" s="1"/>
      <c r="G8" s="1"/>
      <c r="H8" s="1"/>
    </row>
    <row r="9" spans="1:8" ht="27.6" x14ac:dyDescent="0.3">
      <c r="A9" s="8" t="s">
        <v>90</v>
      </c>
      <c r="B9" s="9" t="s">
        <v>91</v>
      </c>
      <c r="C9" s="9" t="s">
        <v>92</v>
      </c>
      <c r="D9" s="9" t="s">
        <v>93</v>
      </c>
      <c r="E9" s="1"/>
      <c r="F9" s="1"/>
      <c r="G9" s="1"/>
      <c r="H9" s="1"/>
    </row>
    <row r="10" spans="1:8" ht="27.6" x14ac:dyDescent="0.3">
      <c r="A10" s="8" t="s">
        <v>94</v>
      </c>
      <c r="B10" s="9" t="s">
        <v>95</v>
      </c>
      <c r="C10" s="9" t="s">
        <v>96</v>
      </c>
      <c r="D10" s="9" t="s">
        <v>97</v>
      </c>
      <c r="E10" s="1"/>
      <c r="F10" s="1"/>
      <c r="G10" s="1"/>
      <c r="H10" s="1"/>
    </row>
    <row r="11" spans="1:8" ht="27.6" x14ac:dyDescent="0.3">
      <c r="A11" s="8" t="s">
        <v>98</v>
      </c>
      <c r="B11" s="9" t="s">
        <v>99</v>
      </c>
      <c r="C11" s="9" t="s">
        <v>100</v>
      </c>
      <c r="D11" s="9" t="s">
        <v>101</v>
      </c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 t="s">
        <v>102</v>
      </c>
      <c r="B14" s="1" t="s">
        <v>103</v>
      </c>
      <c r="C14" s="1" t="s">
        <v>104</v>
      </c>
      <c r="D14" s="1" t="s">
        <v>105</v>
      </c>
      <c r="E14" s="1"/>
      <c r="F14" s="1"/>
      <c r="G14" s="1"/>
      <c r="H14" s="1"/>
    </row>
    <row r="15" spans="1:8" x14ac:dyDescent="0.3">
      <c r="A15" s="1" t="s">
        <v>106</v>
      </c>
      <c r="B15" s="1" t="s">
        <v>107</v>
      </c>
      <c r="C15" s="1" t="s">
        <v>108</v>
      </c>
      <c r="D15" s="1" t="s">
        <v>109</v>
      </c>
      <c r="E15" s="1"/>
      <c r="F15" s="1"/>
      <c r="G15" s="1"/>
      <c r="H15" s="1"/>
    </row>
    <row r="16" spans="1:8" x14ac:dyDescent="0.3">
      <c r="A16" s="1" t="s">
        <v>110</v>
      </c>
      <c r="B16" s="1" t="s">
        <v>111</v>
      </c>
      <c r="C16" s="1" t="s">
        <v>112</v>
      </c>
      <c r="D16" s="1" t="s">
        <v>113</v>
      </c>
      <c r="E16" s="1"/>
      <c r="F16" s="1"/>
      <c r="G16" s="1"/>
      <c r="H16" s="1"/>
    </row>
    <row r="17" spans="1:8" x14ac:dyDescent="0.3">
      <c r="A17" s="1" t="s">
        <v>114</v>
      </c>
      <c r="B17" s="1" t="s">
        <v>115</v>
      </c>
      <c r="C17" s="1" t="s">
        <v>116</v>
      </c>
      <c r="D17" s="1" t="s">
        <v>117</v>
      </c>
      <c r="E17" s="1"/>
      <c r="F17" s="1"/>
      <c r="G17" s="1"/>
      <c r="H17" s="1"/>
    </row>
    <row r="18" spans="1:8" x14ac:dyDescent="0.3">
      <c r="A18" s="1" t="s">
        <v>118</v>
      </c>
      <c r="B18" s="1" t="s">
        <v>119</v>
      </c>
      <c r="C18" s="1" t="s">
        <v>120</v>
      </c>
      <c r="D18" s="1" t="s">
        <v>121</v>
      </c>
      <c r="E18" s="1"/>
      <c r="F18" s="1"/>
      <c r="G18" s="1"/>
      <c r="H18" s="1"/>
    </row>
    <row r="19" spans="1:8" x14ac:dyDescent="0.3">
      <c r="A19" s="1" t="s">
        <v>122</v>
      </c>
      <c r="B19" s="1" t="s">
        <v>123</v>
      </c>
      <c r="C19" s="1" t="s">
        <v>124</v>
      </c>
      <c r="D19" s="1" t="s">
        <v>125</v>
      </c>
      <c r="E19" s="1"/>
      <c r="F19" s="1"/>
      <c r="G19" s="1"/>
      <c r="H19" s="1"/>
    </row>
    <row r="20" spans="1:8" x14ac:dyDescent="0.3">
      <c r="A20" s="1" t="s">
        <v>126</v>
      </c>
      <c r="B20" s="1" t="s">
        <v>127</v>
      </c>
      <c r="C20" s="1" t="s">
        <v>128</v>
      </c>
      <c r="D20" s="1" t="s">
        <v>129</v>
      </c>
      <c r="E20" s="1"/>
      <c r="F20" s="1"/>
      <c r="G20" s="1"/>
      <c r="H20" s="1"/>
    </row>
    <row r="21" spans="1:8" x14ac:dyDescent="0.3">
      <c r="A21" s="1" t="s">
        <v>130</v>
      </c>
      <c r="B21" s="1" t="s">
        <v>131</v>
      </c>
      <c r="C21" s="1" t="s">
        <v>132</v>
      </c>
      <c r="D21" s="1" t="s">
        <v>133</v>
      </c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 t="s">
        <v>102</v>
      </c>
      <c r="B24" s="1" t="s">
        <v>134</v>
      </c>
      <c r="C24" s="1" t="s">
        <v>135</v>
      </c>
      <c r="D24" s="1" t="s">
        <v>136</v>
      </c>
      <c r="E24" s="1" t="s">
        <v>137</v>
      </c>
      <c r="F24" s="1" t="s">
        <v>138</v>
      </c>
      <c r="G24" s="1" t="s">
        <v>19</v>
      </c>
      <c r="H24" s="1" t="s">
        <v>18</v>
      </c>
    </row>
    <row r="25" spans="1:8" x14ac:dyDescent="0.3">
      <c r="A25" s="1" t="s">
        <v>139</v>
      </c>
      <c r="B25" s="1" t="s">
        <v>140</v>
      </c>
      <c r="C25" s="1" t="s">
        <v>141</v>
      </c>
      <c r="D25" s="1" t="s">
        <v>142</v>
      </c>
      <c r="E25" s="1" t="s">
        <v>143</v>
      </c>
      <c r="F25" s="1" t="s">
        <v>144</v>
      </c>
      <c r="G25" s="1" t="s">
        <v>64</v>
      </c>
      <c r="H25" s="1" t="s">
        <v>145</v>
      </c>
    </row>
    <row r="26" spans="1:8" x14ac:dyDescent="0.3">
      <c r="A26" s="1" t="s">
        <v>146</v>
      </c>
      <c r="B26" s="1" t="s">
        <v>147</v>
      </c>
      <c r="C26" s="1" t="s">
        <v>148</v>
      </c>
      <c r="D26" s="1" t="s">
        <v>149</v>
      </c>
      <c r="E26" s="1" t="s">
        <v>150</v>
      </c>
      <c r="F26" s="1" t="s">
        <v>151</v>
      </c>
      <c r="G26" s="1" t="s">
        <v>152</v>
      </c>
      <c r="H26" s="1" t="s">
        <v>145</v>
      </c>
    </row>
    <row r="27" spans="1:8" x14ac:dyDescent="0.3">
      <c r="A27" s="1" t="s">
        <v>153</v>
      </c>
      <c r="B27" s="1" t="s">
        <v>154</v>
      </c>
      <c r="C27" s="1" t="s">
        <v>155</v>
      </c>
      <c r="D27" s="1" t="s">
        <v>156</v>
      </c>
      <c r="E27" s="1" t="s">
        <v>157</v>
      </c>
      <c r="F27" s="1" t="s">
        <v>144</v>
      </c>
      <c r="G27" s="1" t="s">
        <v>154</v>
      </c>
      <c r="H27" s="1" t="s">
        <v>145</v>
      </c>
    </row>
    <row r="28" spans="1:8" x14ac:dyDescent="0.3">
      <c r="A28" s="1" t="s">
        <v>158</v>
      </c>
      <c r="B28" s="1" t="s">
        <v>159</v>
      </c>
      <c r="C28" s="1" t="s">
        <v>160</v>
      </c>
      <c r="D28" s="1" t="s">
        <v>161</v>
      </c>
      <c r="E28" s="1" t="s">
        <v>162</v>
      </c>
      <c r="F28" s="1" t="s">
        <v>144</v>
      </c>
      <c r="G28" s="1" t="s">
        <v>163</v>
      </c>
      <c r="H28" s="1" t="s">
        <v>145</v>
      </c>
    </row>
    <row r="29" spans="1:8" x14ac:dyDescent="0.3">
      <c r="A29" s="1" t="s">
        <v>164</v>
      </c>
      <c r="B29" s="1" t="s">
        <v>165</v>
      </c>
      <c r="C29" s="1" t="s">
        <v>166</v>
      </c>
      <c r="D29" s="1" t="s">
        <v>167</v>
      </c>
      <c r="E29" s="1" t="s">
        <v>168</v>
      </c>
      <c r="F29" s="1" t="s">
        <v>144</v>
      </c>
      <c r="G29" s="1" t="s">
        <v>169</v>
      </c>
      <c r="H29" s="1" t="s">
        <v>145</v>
      </c>
    </row>
    <row r="30" spans="1:8" x14ac:dyDescent="0.3">
      <c r="A30" s="1" t="s">
        <v>170</v>
      </c>
      <c r="B30" s="1" t="s">
        <v>171</v>
      </c>
      <c r="C30" s="1" t="s">
        <v>172</v>
      </c>
      <c r="D30" s="1" t="s">
        <v>173</v>
      </c>
      <c r="E30" s="1" t="s">
        <v>174</v>
      </c>
      <c r="F30" s="1" t="s">
        <v>151</v>
      </c>
      <c r="G30" s="1" t="s">
        <v>175</v>
      </c>
      <c r="H30" s="1" t="s">
        <v>145</v>
      </c>
    </row>
  </sheetData>
  <mergeCells count="1">
    <mergeCell ref="A1:H2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2B9E3-6A75-4AB5-BE96-54E07C197A2C}">
  <sheetPr>
    <tabColor rgb="FF2F75B5"/>
  </sheetPr>
  <dimension ref="A1:J20"/>
  <sheetViews>
    <sheetView showGridLines="0" workbookViewId="0">
      <pane ySplit="4" topLeftCell="A5" activePane="bottomLeft" state="frozen"/>
      <selection pane="bottomLeft" activeCell="H9" sqref="H9"/>
    </sheetView>
  </sheetViews>
  <sheetFormatPr defaultRowHeight="14.4" x14ac:dyDescent="0.3"/>
  <cols>
    <col min="1" max="1" width="18.5546875" customWidth="1"/>
    <col min="2" max="2" width="15.77734375" customWidth="1"/>
    <col min="3" max="3" width="22.21875" customWidth="1"/>
    <col min="4" max="4" width="51.88671875" customWidth="1"/>
    <col min="5" max="6" width="16.6640625" customWidth="1"/>
    <col min="7" max="7" width="55.5546875" customWidth="1"/>
    <col min="8" max="9" width="17.5546875" customWidth="1"/>
    <col min="10" max="10" width="25.88671875" customWidth="1"/>
  </cols>
  <sheetData>
    <row r="1" spans="1:10" x14ac:dyDescent="0.3">
      <c r="A1" s="5" t="s">
        <v>176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1" t="s">
        <v>177</v>
      </c>
      <c r="B4" s="1" t="s">
        <v>178</v>
      </c>
      <c r="C4" s="1" t="s">
        <v>179</v>
      </c>
      <c r="D4" s="1" t="s">
        <v>180</v>
      </c>
      <c r="E4" s="1" t="s">
        <v>138</v>
      </c>
      <c r="F4" s="1" t="s">
        <v>181</v>
      </c>
      <c r="G4" s="1" t="s">
        <v>182</v>
      </c>
      <c r="H4" s="1" t="s">
        <v>18</v>
      </c>
      <c r="I4" s="1" t="s">
        <v>58</v>
      </c>
      <c r="J4" s="1" t="s">
        <v>183</v>
      </c>
    </row>
    <row r="5" spans="1:10" ht="27.6" x14ac:dyDescent="0.3">
      <c r="A5" s="1" t="s">
        <v>184</v>
      </c>
      <c r="B5" s="1" t="s">
        <v>185</v>
      </c>
      <c r="C5" s="10" t="s">
        <v>186</v>
      </c>
      <c r="D5" s="10" t="s">
        <v>187</v>
      </c>
      <c r="E5" s="1" t="s">
        <v>144</v>
      </c>
      <c r="F5" s="1" t="s">
        <v>61</v>
      </c>
      <c r="G5" s="10" t="s">
        <v>188</v>
      </c>
      <c r="H5" s="1" t="s">
        <v>145</v>
      </c>
      <c r="I5" s="1" t="s">
        <v>31</v>
      </c>
      <c r="J5" s="1"/>
    </row>
    <row r="6" spans="1:10" x14ac:dyDescent="0.3">
      <c r="A6" s="1" t="s">
        <v>189</v>
      </c>
      <c r="B6" s="1" t="s">
        <v>185</v>
      </c>
      <c r="C6" s="10" t="s">
        <v>190</v>
      </c>
      <c r="D6" s="10" t="s">
        <v>191</v>
      </c>
      <c r="E6" s="1" t="s">
        <v>144</v>
      </c>
      <c r="F6" s="1" t="s">
        <v>192</v>
      </c>
      <c r="G6" s="10" t="s">
        <v>193</v>
      </c>
      <c r="H6" s="1" t="s">
        <v>145</v>
      </c>
      <c r="I6" s="1" t="s">
        <v>194</v>
      </c>
      <c r="J6" s="1"/>
    </row>
    <row r="7" spans="1:10" x14ac:dyDescent="0.3">
      <c r="A7" s="1" t="s">
        <v>195</v>
      </c>
      <c r="B7" s="1" t="s">
        <v>185</v>
      </c>
      <c r="C7" s="10" t="s">
        <v>196</v>
      </c>
      <c r="D7" s="10" t="s">
        <v>197</v>
      </c>
      <c r="E7" s="1" t="s">
        <v>144</v>
      </c>
      <c r="F7" s="1" t="s">
        <v>61</v>
      </c>
      <c r="G7" s="10" t="s">
        <v>198</v>
      </c>
      <c r="H7" s="1" t="s">
        <v>145</v>
      </c>
      <c r="I7" s="1" t="s">
        <v>194</v>
      </c>
      <c r="J7" s="1"/>
    </row>
    <row r="8" spans="1:10" ht="27.6" x14ac:dyDescent="0.3">
      <c r="A8" s="1" t="s">
        <v>199</v>
      </c>
      <c r="B8" s="1" t="s">
        <v>154</v>
      </c>
      <c r="C8" s="10" t="s">
        <v>200</v>
      </c>
      <c r="D8" s="10" t="s">
        <v>201</v>
      </c>
      <c r="E8" s="1" t="s">
        <v>144</v>
      </c>
      <c r="F8" s="1" t="s">
        <v>110</v>
      </c>
      <c r="G8" s="10" t="s">
        <v>202</v>
      </c>
      <c r="H8" s="1" t="s">
        <v>145</v>
      </c>
      <c r="I8" s="1" t="s">
        <v>194</v>
      </c>
      <c r="J8" s="1"/>
    </row>
    <row r="9" spans="1:10" x14ac:dyDescent="0.3">
      <c r="A9" s="1" t="s">
        <v>203</v>
      </c>
      <c r="B9" s="1" t="s">
        <v>154</v>
      </c>
      <c r="C9" s="10" t="s">
        <v>204</v>
      </c>
      <c r="D9" s="10" t="s">
        <v>205</v>
      </c>
      <c r="E9" s="1" t="s">
        <v>144</v>
      </c>
      <c r="F9" s="1" t="s">
        <v>110</v>
      </c>
      <c r="G9" s="10" t="s">
        <v>206</v>
      </c>
      <c r="H9" s="1" t="s">
        <v>145</v>
      </c>
      <c r="I9" s="1" t="s">
        <v>194</v>
      </c>
      <c r="J9" s="1"/>
    </row>
    <row r="10" spans="1:10" x14ac:dyDescent="0.3">
      <c r="A10" s="1" t="s">
        <v>207</v>
      </c>
      <c r="B10" s="1" t="s">
        <v>185</v>
      </c>
      <c r="C10" s="10" t="s">
        <v>208</v>
      </c>
      <c r="D10" s="10" t="s">
        <v>209</v>
      </c>
      <c r="E10" s="1" t="s">
        <v>144</v>
      </c>
      <c r="F10" s="1" t="s">
        <v>61</v>
      </c>
      <c r="G10" s="10" t="s">
        <v>210</v>
      </c>
      <c r="H10" s="1" t="s">
        <v>145</v>
      </c>
      <c r="I10" s="1" t="s">
        <v>194</v>
      </c>
      <c r="J10" s="1"/>
    </row>
    <row r="11" spans="1:10" x14ac:dyDescent="0.3">
      <c r="A11" s="1" t="s">
        <v>211</v>
      </c>
      <c r="B11" s="1" t="s">
        <v>154</v>
      </c>
      <c r="C11" s="10" t="s">
        <v>212</v>
      </c>
      <c r="D11" s="10" t="s">
        <v>213</v>
      </c>
      <c r="E11" s="1" t="s">
        <v>144</v>
      </c>
      <c r="F11" s="1" t="s">
        <v>118</v>
      </c>
      <c r="G11" s="10" t="s">
        <v>214</v>
      </c>
      <c r="H11" s="1" t="s">
        <v>145</v>
      </c>
      <c r="I11" s="1" t="s">
        <v>194</v>
      </c>
      <c r="J11" s="1"/>
    </row>
    <row r="12" spans="1:10" ht="27.6" x14ac:dyDescent="0.3">
      <c r="A12" s="1" t="s">
        <v>215</v>
      </c>
      <c r="B12" s="1" t="s">
        <v>185</v>
      </c>
      <c r="C12" s="10" t="s">
        <v>216</v>
      </c>
      <c r="D12" s="10" t="s">
        <v>217</v>
      </c>
      <c r="E12" s="1" t="s">
        <v>144</v>
      </c>
      <c r="F12" s="1" t="s">
        <v>61</v>
      </c>
      <c r="G12" s="10" t="s">
        <v>218</v>
      </c>
      <c r="H12" s="1" t="s">
        <v>145</v>
      </c>
      <c r="I12" s="1" t="s">
        <v>194</v>
      </c>
      <c r="J12" s="1"/>
    </row>
    <row r="13" spans="1:10" x14ac:dyDescent="0.3">
      <c r="A13" s="1" t="s">
        <v>219</v>
      </c>
      <c r="B13" s="1" t="s">
        <v>185</v>
      </c>
      <c r="C13" s="10" t="s">
        <v>220</v>
      </c>
      <c r="D13" s="10" t="s">
        <v>221</v>
      </c>
      <c r="E13" s="1" t="s">
        <v>151</v>
      </c>
      <c r="F13" s="1" t="s">
        <v>61</v>
      </c>
      <c r="G13" s="10" t="s">
        <v>222</v>
      </c>
      <c r="H13" s="1" t="s">
        <v>145</v>
      </c>
      <c r="I13" s="1" t="s">
        <v>194</v>
      </c>
      <c r="J13" s="1"/>
    </row>
    <row r="14" spans="1:10" x14ac:dyDescent="0.3">
      <c r="A14" s="1" t="s">
        <v>223</v>
      </c>
      <c r="B14" s="1" t="s">
        <v>154</v>
      </c>
      <c r="C14" s="10" t="s">
        <v>224</v>
      </c>
      <c r="D14" s="10" t="s">
        <v>225</v>
      </c>
      <c r="E14" s="1" t="s">
        <v>151</v>
      </c>
      <c r="F14" s="1" t="s">
        <v>226</v>
      </c>
      <c r="G14" s="10" t="s">
        <v>227</v>
      </c>
      <c r="H14" s="1" t="s">
        <v>145</v>
      </c>
      <c r="I14" s="1" t="s">
        <v>194</v>
      </c>
      <c r="J14" s="1"/>
    </row>
    <row r="15" spans="1:10" x14ac:dyDescent="0.3">
      <c r="A15" s="1" t="s">
        <v>228</v>
      </c>
      <c r="B15" s="1" t="s">
        <v>229</v>
      </c>
      <c r="C15" s="10" t="s">
        <v>132</v>
      </c>
      <c r="D15" s="10" t="s">
        <v>230</v>
      </c>
      <c r="E15" s="1" t="s">
        <v>144</v>
      </c>
      <c r="F15" s="1" t="s">
        <v>130</v>
      </c>
      <c r="G15" s="10" t="s">
        <v>231</v>
      </c>
      <c r="H15" s="1" t="s">
        <v>145</v>
      </c>
      <c r="I15" s="1" t="s">
        <v>194</v>
      </c>
      <c r="J15" s="1"/>
    </row>
    <row r="16" spans="1:10" ht="27.6" x14ac:dyDescent="0.3">
      <c r="A16" s="1" t="s">
        <v>232</v>
      </c>
      <c r="B16" s="1" t="s">
        <v>233</v>
      </c>
      <c r="C16" s="10" t="s">
        <v>234</v>
      </c>
      <c r="D16" s="10" t="s">
        <v>235</v>
      </c>
      <c r="E16" s="1" t="s">
        <v>144</v>
      </c>
      <c r="F16" s="1" t="s">
        <v>158</v>
      </c>
      <c r="G16" s="10" t="s">
        <v>236</v>
      </c>
      <c r="H16" s="1" t="s">
        <v>145</v>
      </c>
      <c r="I16" s="1" t="s">
        <v>194</v>
      </c>
      <c r="J16" s="1"/>
    </row>
    <row r="17" spans="1:10" x14ac:dyDescent="0.3">
      <c r="A17" s="1" t="s">
        <v>139</v>
      </c>
      <c r="B17" s="1" t="s">
        <v>140</v>
      </c>
      <c r="C17" s="10" t="s">
        <v>237</v>
      </c>
      <c r="D17" s="10" t="s">
        <v>238</v>
      </c>
      <c r="E17" s="1" t="s">
        <v>144</v>
      </c>
      <c r="F17" s="1" t="s">
        <v>239</v>
      </c>
      <c r="G17" s="10" t="s">
        <v>240</v>
      </c>
      <c r="H17" s="1" t="s">
        <v>145</v>
      </c>
      <c r="I17" s="1" t="s">
        <v>241</v>
      </c>
      <c r="J17" s="1"/>
    </row>
    <row r="18" spans="1:10" x14ac:dyDescent="0.3">
      <c r="A18" s="1" t="s">
        <v>153</v>
      </c>
      <c r="B18" s="1" t="s">
        <v>154</v>
      </c>
      <c r="C18" s="10" t="s">
        <v>242</v>
      </c>
      <c r="D18" s="10" t="s">
        <v>243</v>
      </c>
      <c r="E18" s="1" t="s">
        <v>144</v>
      </c>
      <c r="F18" s="1" t="s">
        <v>239</v>
      </c>
      <c r="G18" s="10" t="s">
        <v>244</v>
      </c>
      <c r="H18" s="1" t="s">
        <v>145</v>
      </c>
      <c r="I18" s="1" t="s">
        <v>245</v>
      </c>
      <c r="J18" s="1"/>
    </row>
    <row r="19" spans="1:10" x14ac:dyDescent="0.3">
      <c r="A19" s="1" t="s">
        <v>158</v>
      </c>
      <c r="B19" s="1" t="s">
        <v>233</v>
      </c>
      <c r="C19" s="10" t="s">
        <v>246</v>
      </c>
      <c r="D19" s="10" t="s">
        <v>247</v>
      </c>
      <c r="E19" s="1" t="s">
        <v>144</v>
      </c>
      <c r="F19" s="1" t="s">
        <v>239</v>
      </c>
      <c r="G19" s="10" t="s">
        <v>248</v>
      </c>
      <c r="H19" s="1" t="s">
        <v>145</v>
      </c>
      <c r="I19" s="1" t="s">
        <v>194</v>
      </c>
      <c r="J19" s="1"/>
    </row>
    <row r="20" spans="1:10" x14ac:dyDescent="0.3">
      <c r="A20" s="1" t="s">
        <v>164</v>
      </c>
      <c r="B20" s="1" t="s">
        <v>165</v>
      </c>
      <c r="C20" s="10" t="s">
        <v>249</v>
      </c>
      <c r="D20" s="10" t="s">
        <v>250</v>
      </c>
      <c r="E20" s="1" t="s">
        <v>144</v>
      </c>
      <c r="F20" s="1" t="s">
        <v>239</v>
      </c>
      <c r="G20" s="10" t="s">
        <v>251</v>
      </c>
      <c r="H20" s="1" t="s">
        <v>145</v>
      </c>
      <c r="I20" s="1" t="s">
        <v>169</v>
      </c>
      <c r="J20" s="1"/>
    </row>
  </sheetData>
  <mergeCells count="1">
    <mergeCell ref="A1:J2"/>
  </mergeCells>
  <conditionalFormatting sqref="H5:H20">
    <cfRule type="expression" dxfId="59" priority="1">
      <formula>H5="Pass"</formula>
    </cfRule>
  </conditionalFormatting>
  <conditionalFormatting sqref="H5:H20">
    <cfRule type="expression" dxfId="58" priority="2">
      <formula>H5="Approved"</formula>
    </cfRule>
  </conditionalFormatting>
  <conditionalFormatting sqref="H5:H20">
    <cfRule type="expression" dxfId="57" priority="3">
      <formula>H5="Covered"</formula>
    </cfRule>
  </conditionalFormatting>
  <conditionalFormatting sqref="H5:H20">
    <cfRule type="expression" dxfId="56" priority="4">
      <formula>H5="Fail"</formula>
    </cfRule>
  </conditionalFormatting>
  <conditionalFormatting sqref="H5:H20">
    <cfRule type="expression" dxfId="55" priority="5">
      <formula>H5="Rejected"</formula>
    </cfRule>
  </conditionalFormatting>
  <conditionalFormatting sqref="H5:H20">
    <cfRule type="expression" dxfId="54" priority="6">
      <formula>H5="Gap"</formula>
    </cfRule>
  </conditionalFormatting>
  <conditionalFormatting sqref="H5:H20">
    <cfRule type="expression" dxfId="53" priority="7">
      <formula>H5="Belum"</formula>
    </cfRule>
  </conditionalFormatting>
  <conditionalFormatting sqref="H5:H20">
    <cfRule type="expression" dxfId="52" priority="8">
      <formula>H5="Draft"</formula>
    </cfRule>
  </conditionalFormatting>
  <conditionalFormatting sqref="H5:H20">
    <cfRule type="expression" dxfId="51" priority="9">
      <formula>H5="Review"</formula>
    </cfRule>
  </conditionalFormatting>
  <conditionalFormatting sqref="H5:H20">
    <cfRule type="expression" dxfId="50" priority="10">
      <formula>H5="Open"</formula>
    </cfRule>
  </conditionalFormatting>
  <dataValidations count="1">
    <dataValidation type="list" allowBlank="1" showInputMessage="1" showErrorMessage="1" sqref="H5:H20" xr:uid="{8A968EF8-5D15-4F59-9DF8-0E8F19683396}">
      <formula1>"Draft,Review,Approved,Rejected,Deferred"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85FF-D99F-4349-BA78-CF0B98786DB2}">
  <sheetPr>
    <tabColor rgb="FF00A6A6"/>
  </sheetPr>
  <dimension ref="A1:I16"/>
  <sheetViews>
    <sheetView showGridLines="0" workbookViewId="0">
      <pane ySplit="4" topLeftCell="A5" activePane="bottomLeft" state="frozen"/>
      <selection pane="bottomLeft" activeCell="H9" sqref="H9"/>
    </sheetView>
  </sheetViews>
  <sheetFormatPr defaultRowHeight="14.4" x14ac:dyDescent="0.3"/>
  <cols>
    <col min="1" max="1" width="8.33203125" customWidth="1"/>
    <col min="2" max="2" width="13.88671875" customWidth="1"/>
    <col min="3" max="3" width="26.88671875" customWidth="1"/>
    <col min="4" max="4" width="38.88671875" customWidth="1"/>
    <col min="5" max="5" width="21.33203125" customWidth="1"/>
    <col min="6" max="6" width="27.77734375" customWidth="1"/>
    <col min="7" max="7" width="38.88671875" customWidth="1"/>
    <col min="8" max="8" width="21.33203125" customWidth="1"/>
    <col min="9" max="9" width="13" customWidth="1"/>
  </cols>
  <sheetData>
    <row r="1" spans="1:9" x14ac:dyDescent="0.3">
      <c r="A1" s="5" t="s">
        <v>252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5"/>
      <c r="B2" s="5"/>
      <c r="C2" s="5"/>
      <c r="D2" s="5"/>
      <c r="E2" s="5"/>
      <c r="F2" s="5"/>
      <c r="G2" s="5"/>
      <c r="H2" s="5"/>
      <c r="I2" s="5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x14ac:dyDescent="0.3">
      <c r="A4" s="1" t="s">
        <v>253</v>
      </c>
      <c r="B4" s="1" t="s">
        <v>254</v>
      </c>
      <c r="C4" s="1" t="s">
        <v>255</v>
      </c>
      <c r="D4" s="1" t="s">
        <v>256</v>
      </c>
      <c r="E4" s="1" t="s">
        <v>257</v>
      </c>
      <c r="F4" s="1" t="s">
        <v>258</v>
      </c>
      <c r="G4" s="1" t="s">
        <v>259</v>
      </c>
      <c r="H4" s="1" t="s">
        <v>260</v>
      </c>
      <c r="I4" s="1" t="s">
        <v>261</v>
      </c>
    </row>
    <row r="5" spans="1:9" x14ac:dyDescent="0.3">
      <c r="A5" s="1">
        <v>1</v>
      </c>
      <c r="B5" s="1" t="s">
        <v>85</v>
      </c>
      <c r="C5" s="10" t="s">
        <v>262</v>
      </c>
      <c r="D5" s="10" t="s">
        <v>263</v>
      </c>
      <c r="E5" s="10" t="s">
        <v>264</v>
      </c>
      <c r="F5" s="10" t="s">
        <v>265</v>
      </c>
      <c r="G5" s="10" t="s">
        <v>266</v>
      </c>
      <c r="H5" s="10" t="s">
        <v>184</v>
      </c>
      <c r="I5" s="1" t="s">
        <v>267</v>
      </c>
    </row>
    <row r="6" spans="1:9" x14ac:dyDescent="0.3">
      <c r="A6" s="1">
        <v>2</v>
      </c>
      <c r="B6" s="1" t="s">
        <v>85</v>
      </c>
      <c r="C6" s="10" t="s">
        <v>268</v>
      </c>
      <c r="D6" s="10" t="s">
        <v>269</v>
      </c>
      <c r="E6" s="10" t="s">
        <v>270</v>
      </c>
      <c r="F6" s="10" t="s">
        <v>271</v>
      </c>
      <c r="G6" s="10" t="s">
        <v>272</v>
      </c>
      <c r="H6" s="10" t="s">
        <v>189</v>
      </c>
      <c r="I6" s="1" t="s">
        <v>267</v>
      </c>
    </row>
    <row r="7" spans="1:9" x14ac:dyDescent="0.3">
      <c r="A7" s="1">
        <v>3</v>
      </c>
      <c r="B7" s="1" t="s">
        <v>273</v>
      </c>
      <c r="C7" s="10" t="s">
        <v>274</v>
      </c>
      <c r="D7" s="10" t="s">
        <v>275</v>
      </c>
      <c r="E7" s="10" t="s">
        <v>276</v>
      </c>
      <c r="F7" s="10" t="s">
        <v>277</v>
      </c>
      <c r="G7" s="10" t="s">
        <v>278</v>
      </c>
      <c r="H7" s="10" t="s">
        <v>195</v>
      </c>
      <c r="I7" s="1" t="s">
        <v>267</v>
      </c>
    </row>
    <row r="8" spans="1:9" x14ac:dyDescent="0.3">
      <c r="A8" s="1">
        <v>4</v>
      </c>
      <c r="B8" s="1" t="s">
        <v>273</v>
      </c>
      <c r="C8" s="10" t="s">
        <v>279</v>
      </c>
      <c r="D8" s="10" t="s">
        <v>280</v>
      </c>
      <c r="E8" s="10" t="s">
        <v>281</v>
      </c>
      <c r="F8" s="10" t="s">
        <v>282</v>
      </c>
      <c r="G8" s="10" t="s">
        <v>283</v>
      </c>
      <c r="H8" s="10" t="s">
        <v>284</v>
      </c>
      <c r="I8" s="1" t="s">
        <v>267</v>
      </c>
    </row>
    <row r="9" spans="1:9" x14ac:dyDescent="0.3">
      <c r="A9" s="1">
        <v>5</v>
      </c>
      <c r="B9" s="1" t="s">
        <v>273</v>
      </c>
      <c r="C9" s="10" t="s">
        <v>285</v>
      </c>
      <c r="D9" s="10" t="s">
        <v>286</v>
      </c>
      <c r="E9" s="10" t="s">
        <v>287</v>
      </c>
      <c r="F9" s="10" t="s">
        <v>288</v>
      </c>
      <c r="G9" s="10" t="s">
        <v>289</v>
      </c>
      <c r="H9" s="10" t="s">
        <v>203</v>
      </c>
      <c r="I9" s="1" t="s">
        <v>267</v>
      </c>
    </row>
    <row r="10" spans="1:9" x14ac:dyDescent="0.3">
      <c r="A10" s="1">
        <v>6</v>
      </c>
      <c r="B10" s="1" t="s">
        <v>273</v>
      </c>
      <c r="C10" s="10" t="s">
        <v>290</v>
      </c>
      <c r="D10" s="10" t="s">
        <v>291</v>
      </c>
      <c r="E10" s="10" t="s">
        <v>292</v>
      </c>
      <c r="F10" s="10" t="s">
        <v>293</v>
      </c>
      <c r="G10" s="10" t="s">
        <v>294</v>
      </c>
      <c r="H10" s="10" t="s">
        <v>295</v>
      </c>
      <c r="I10" s="1" t="s">
        <v>267</v>
      </c>
    </row>
    <row r="11" spans="1:9" x14ac:dyDescent="0.3">
      <c r="A11" s="1">
        <v>7</v>
      </c>
      <c r="B11" s="1" t="s">
        <v>273</v>
      </c>
      <c r="C11" s="10" t="s">
        <v>296</v>
      </c>
      <c r="D11" s="10" t="s">
        <v>297</v>
      </c>
      <c r="E11" s="10" t="s">
        <v>298</v>
      </c>
      <c r="F11" s="10" t="s">
        <v>299</v>
      </c>
      <c r="G11" s="10" t="s">
        <v>300</v>
      </c>
      <c r="H11" s="10" t="s">
        <v>228</v>
      </c>
      <c r="I11" s="1" t="s">
        <v>267</v>
      </c>
    </row>
    <row r="12" spans="1:9" x14ac:dyDescent="0.3">
      <c r="A12" s="1">
        <v>8</v>
      </c>
      <c r="B12" s="1" t="s">
        <v>273</v>
      </c>
      <c r="C12" s="10" t="s">
        <v>301</v>
      </c>
      <c r="D12" s="10" t="s">
        <v>302</v>
      </c>
      <c r="E12" s="10" t="s">
        <v>264</v>
      </c>
      <c r="F12" s="10" t="s">
        <v>303</v>
      </c>
      <c r="G12" s="10" t="s">
        <v>304</v>
      </c>
      <c r="H12" s="10" t="s">
        <v>207</v>
      </c>
      <c r="I12" s="1" t="s">
        <v>267</v>
      </c>
    </row>
    <row r="13" spans="1:9" x14ac:dyDescent="0.3">
      <c r="A13" s="1">
        <v>9</v>
      </c>
      <c r="B13" s="1" t="s">
        <v>273</v>
      </c>
      <c r="C13" s="10" t="s">
        <v>305</v>
      </c>
      <c r="D13" s="10" t="s">
        <v>306</v>
      </c>
      <c r="E13" s="10" t="s">
        <v>307</v>
      </c>
      <c r="F13" s="10" t="s">
        <v>308</v>
      </c>
      <c r="G13" s="10" t="s">
        <v>309</v>
      </c>
      <c r="H13" s="10" t="s">
        <v>211</v>
      </c>
      <c r="I13" s="1" t="s">
        <v>267</v>
      </c>
    </row>
    <row r="14" spans="1:9" x14ac:dyDescent="0.3">
      <c r="A14" s="1">
        <v>10</v>
      </c>
      <c r="B14" s="1" t="s">
        <v>85</v>
      </c>
      <c r="C14" s="10" t="s">
        <v>310</v>
      </c>
      <c r="D14" s="10" t="s">
        <v>308</v>
      </c>
      <c r="E14" s="10" t="s">
        <v>264</v>
      </c>
      <c r="F14" s="10" t="s">
        <v>311</v>
      </c>
      <c r="G14" s="10" t="s">
        <v>312</v>
      </c>
      <c r="H14" s="10" t="s">
        <v>313</v>
      </c>
      <c r="I14" s="1" t="s">
        <v>267</v>
      </c>
    </row>
    <row r="15" spans="1:9" x14ac:dyDescent="0.3">
      <c r="A15" s="1">
        <v>11</v>
      </c>
      <c r="B15" s="1" t="s">
        <v>85</v>
      </c>
      <c r="C15" s="10" t="s">
        <v>314</v>
      </c>
      <c r="D15" s="10" t="s">
        <v>315</v>
      </c>
      <c r="E15" s="10" t="s">
        <v>316</v>
      </c>
      <c r="F15" s="10" t="s">
        <v>317</v>
      </c>
      <c r="G15" s="10" t="s">
        <v>318</v>
      </c>
      <c r="H15" s="10" t="s">
        <v>219</v>
      </c>
      <c r="I15" s="1" t="s">
        <v>267</v>
      </c>
    </row>
    <row r="16" spans="1:9" ht="27.6" x14ac:dyDescent="0.3">
      <c r="A16" s="1">
        <v>12</v>
      </c>
      <c r="B16" s="1" t="s">
        <v>85</v>
      </c>
      <c r="C16" s="10" t="s">
        <v>319</v>
      </c>
      <c r="D16" s="10" t="s">
        <v>320</v>
      </c>
      <c r="E16" s="10" t="s">
        <v>321</v>
      </c>
      <c r="F16" s="10" t="s">
        <v>322</v>
      </c>
      <c r="G16" s="10" t="s">
        <v>323</v>
      </c>
      <c r="H16" s="10" t="s">
        <v>223</v>
      </c>
      <c r="I16" s="1" t="s">
        <v>267</v>
      </c>
    </row>
  </sheetData>
  <mergeCells count="1">
    <mergeCell ref="A1:I2"/>
  </mergeCells>
  <conditionalFormatting sqref="I5:I16">
    <cfRule type="expression" dxfId="49" priority="1">
      <formula>I5="Pass"</formula>
    </cfRule>
  </conditionalFormatting>
  <conditionalFormatting sqref="I5:I16">
    <cfRule type="expression" dxfId="48" priority="2">
      <formula>I5="Approved"</formula>
    </cfRule>
  </conditionalFormatting>
  <conditionalFormatting sqref="I5:I16">
    <cfRule type="expression" dxfId="47" priority="3">
      <formula>I5="Covered"</formula>
    </cfRule>
  </conditionalFormatting>
  <conditionalFormatting sqref="I5:I16">
    <cfRule type="expression" dxfId="46" priority="4">
      <formula>I5="Fail"</formula>
    </cfRule>
  </conditionalFormatting>
  <conditionalFormatting sqref="I5:I16">
    <cfRule type="expression" dxfId="45" priority="5">
      <formula>I5="Rejected"</formula>
    </cfRule>
  </conditionalFormatting>
  <conditionalFormatting sqref="I5:I16">
    <cfRule type="expression" dxfId="44" priority="6">
      <formula>I5="Gap"</formula>
    </cfRule>
  </conditionalFormatting>
  <conditionalFormatting sqref="I5:I16">
    <cfRule type="expression" dxfId="43" priority="7">
      <formula>I5="Belum"</formula>
    </cfRule>
  </conditionalFormatting>
  <conditionalFormatting sqref="I5:I16">
    <cfRule type="expression" dxfId="42" priority="8">
      <formula>I5="Draft"</formula>
    </cfRule>
  </conditionalFormatting>
  <conditionalFormatting sqref="I5:I16">
    <cfRule type="expression" dxfId="41" priority="9">
      <formula>I5="Review"</formula>
    </cfRule>
  </conditionalFormatting>
  <conditionalFormatting sqref="I5:I16">
    <cfRule type="expression" dxfId="40" priority="10">
      <formula>I5="Open"</formula>
    </cfRule>
  </conditionalFormatting>
  <dataValidations count="1">
    <dataValidation type="list" allowBlank="1" showInputMessage="1" showErrorMessage="1" sqref="I5:I16" xr:uid="{E07D270F-4999-4908-A851-D2B126876BC8}">
      <formula1>"Belum,Pass,Fail,N/A"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CDB3-78C4-49DD-9DB5-D0E48554A7FC}">
  <sheetPr>
    <tabColor rgb="FF00A6A6"/>
  </sheetPr>
  <dimension ref="A1:N25"/>
  <sheetViews>
    <sheetView showGridLines="0" workbookViewId="0">
      <pane ySplit="4" topLeftCell="A5" activePane="bottomLeft" state="frozen"/>
      <selection pane="bottomLeft" activeCell="H9" sqref="H9"/>
    </sheetView>
  </sheetViews>
  <sheetFormatPr defaultRowHeight="14.4" x14ac:dyDescent="0.3"/>
  <cols>
    <col min="1" max="1" width="25" customWidth="1"/>
    <col min="2" max="2" width="26.88671875" customWidth="1"/>
    <col min="3" max="3" width="10.21875" customWidth="1"/>
    <col min="4" max="4" width="18.5546875" customWidth="1"/>
    <col min="5" max="6" width="13" customWidth="1"/>
    <col min="7" max="7" width="37" customWidth="1"/>
    <col min="8" max="8" width="20.33203125" customWidth="1"/>
    <col min="9" max="9" width="3.33203125" customWidth="1"/>
    <col min="10" max="14" width="25" customWidth="1"/>
  </cols>
  <sheetData>
    <row r="1" spans="1:14" x14ac:dyDescent="0.3">
      <c r="A1" s="5" t="s">
        <v>324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 t="s">
        <v>325</v>
      </c>
      <c r="B4" s="1" t="s">
        <v>326</v>
      </c>
      <c r="C4" s="1" t="s">
        <v>327</v>
      </c>
      <c r="D4" s="1" t="s">
        <v>328</v>
      </c>
      <c r="E4" s="1" t="s">
        <v>329</v>
      </c>
      <c r="F4" s="1" t="s">
        <v>330</v>
      </c>
      <c r="G4" s="1" t="s">
        <v>331</v>
      </c>
      <c r="H4" s="1" t="s">
        <v>260</v>
      </c>
      <c r="I4" s="1"/>
      <c r="J4" s="1" t="s">
        <v>390</v>
      </c>
      <c r="K4" s="1" t="s">
        <v>391</v>
      </c>
      <c r="L4" s="1" t="s">
        <v>392</v>
      </c>
      <c r="M4" s="1" t="s">
        <v>393</v>
      </c>
      <c r="N4" s="1" t="s">
        <v>394</v>
      </c>
    </row>
    <row r="5" spans="1:14" ht="27.6" x14ac:dyDescent="0.3">
      <c r="A5" s="1" t="s">
        <v>332</v>
      </c>
      <c r="B5" s="1" t="s">
        <v>333</v>
      </c>
      <c r="C5" s="1" t="s">
        <v>334</v>
      </c>
      <c r="D5" s="1" t="s">
        <v>335</v>
      </c>
      <c r="E5" s="1" t="s">
        <v>336</v>
      </c>
      <c r="F5" s="1" t="s">
        <v>337</v>
      </c>
      <c r="G5" s="10" t="s">
        <v>338</v>
      </c>
      <c r="H5" s="10" t="s">
        <v>195</v>
      </c>
      <c r="I5" s="1"/>
      <c r="J5" s="10" t="s">
        <v>332</v>
      </c>
      <c r="K5" s="10" t="s">
        <v>395</v>
      </c>
      <c r="L5" s="10" t="s">
        <v>366</v>
      </c>
      <c r="M5" s="10" t="s">
        <v>396</v>
      </c>
      <c r="N5" s="10" t="s">
        <v>397</v>
      </c>
    </row>
    <row r="6" spans="1:14" x14ac:dyDescent="0.3">
      <c r="A6" s="1" t="s">
        <v>332</v>
      </c>
      <c r="B6" s="1" t="s">
        <v>339</v>
      </c>
      <c r="C6" s="1" t="s">
        <v>340</v>
      </c>
      <c r="D6" s="1" t="s">
        <v>341</v>
      </c>
      <c r="E6" s="1" t="s">
        <v>336</v>
      </c>
      <c r="F6" s="1" t="s">
        <v>264</v>
      </c>
      <c r="G6" s="10" t="s">
        <v>342</v>
      </c>
      <c r="H6" s="10" t="s">
        <v>195</v>
      </c>
      <c r="I6" s="1"/>
      <c r="J6" s="10" t="s">
        <v>361</v>
      </c>
      <c r="K6" s="10" t="s">
        <v>398</v>
      </c>
      <c r="L6" s="10" t="s">
        <v>366</v>
      </c>
      <c r="M6" s="10" t="s">
        <v>396</v>
      </c>
      <c r="N6" s="10" t="s">
        <v>399</v>
      </c>
    </row>
    <row r="7" spans="1:14" ht="27.6" x14ac:dyDescent="0.3">
      <c r="A7" s="1" t="s">
        <v>332</v>
      </c>
      <c r="B7" s="1" t="s">
        <v>343</v>
      </c>
      <c r="C7" s="1" t="s">
        <v>340</v>
      </c>
      <c r="D7" s="1" t="s">
        <v>344</v>
      </c>
      <c r="E7" s="1" t="s">
        <v>336</v>
      </c>
      <c r="F7" s="1" t="s">
        <v>264</v>
      </c>
      <c r="G7" s="10" t="s">
        <v>345</v>
      </c>
      <c r="H7" s="10" t="s">
        <v>219</v>
      </c>
      <c r="I7" s="1"/>
      <c r="J7" s="10" t="s">
        <v>332</v>
      </c>
      <c r="K7" s="10" t="s">
        <v>400</v>
      </c>
      <c r="L7" s="10" t="s">
        <v>370</v>
      </c>
      <c r="M7" s="10" t="s">
        <v>396</v>
      </c>
      <c r="N7" s="10" t="s">
        <v>401</v>
      </c>
    </row>
    <row r="8" spans="1:14" x14ac:dyDescent="0.3">
      <c r="A8" s="1" t="s">
        <v>332</v>
      </c>
      <c r="B8" s="1" t="s">
        <v>346</v>
      </c>
      <c r="C8" s="1" t="s">
        <v>264</v>
      </c>
      <c r="D8" s="1" t="s">
        <v>344</v>
      </c>
      <c r="E8" s="1" t="s">
        <v>336</v>
      </c>
      <c r="F8" s="1" t="s">
        <v>264</v>
      </c>
      <c r="G8" s="10" t="s">
        <v>347</v>
      </c>
      <c r="H8" s="10" t="s">
        <v>153</v>
      </c>
      <c r="I8" s="1"/>
      <c r="J8" s="10" t="s">
        <v>332</v>
      </c>
      <c r="K8" s="10" t="s">
        <v>402</v>
      </c>
      <c r="L8" s="10" t="s">
        <v>376</v>
      </c>
      <c r="M8" s="10" t="s">
        <v>396</v>
      </c>
      <c r="N8" s="10" t="s">
        <v>403</v>
      </c>
    </row>
    <row r="9" spans="1:14" x14ac:dyDescent="0.3">
      <c r="A9" s="1" t="s">
        <v>332</v>
      </c>
      <c r="B9" s="1" t="s">
        <v>348</v>
      </c>
      <c r="C9" s="1" t="s">
        <v>264</v>
      </c>
      <c r="D9" s="1" t="s">
        <v>349</v>
      </c>
      <c r="E9" s="1" t="s">
        <v>336</v>
      </c>
      <c r="F9" s="1" t="s">
        <v>350</v>
      </c>
      <c r="G9" s="10" t="s">
        <v>351</v>
      </c>
      <c r="H9" s="10" t="s">
        <v>352</v>
      </c>
      <c r="I9" s="1"/>
      <c r="J9" s="10" t="s">
        <v>332</v>
      </c>
      <c r="K9" s="10" t="s">
        <v>404</v>
      </c>
      <c r="L9" s="10" t="s">
        <v>382</v>
      </c>
      <c r="M9" s="10" t="s">
        <v>396</v>
      </c>
      <c r="N9" s="10" t="s">
        <v>405</v>
      </c>
    </row>
    <row r="10" spans="1:14" ht="27.6" x14ac:dyDescent="0.3">
      <c r="A10" s="1" t="s">
        <v>332</v>
      </c>
      <c r="B10" s="1" t="s">
        <v>353</v>
      </c>
      <c r="C10" s="1" t="s">
        <v>264</v>
      </c>
      <c r="D10" s="1" t="s">
        <v>354</v>
      </c>
      <c r="E10" s="1" t="s">
        <v>336</v>
      </c>
      <c r="F10" s="1">
        <v>0</v>
      </c>
      <c r="G10" s="10" t="s">
        <v>355</v>
      </c>
      <c r="H10" s="10" t="s">
        <v>199</v>
      </c>
      <c r="I10" s="1"/>
      <c r="J10" s="10" t="s">
        <v>361</v>
      </c>
      <c r="K10" s="10" t="s">
        <v>406</v>
      </c>
      <c r="L10" s="10" t="s">
        <v>407</v>
      </c>
      <c r="M10" s="10" t="s">
        <v>408</v>
      </c>
      <c r="N10" s="10" t="s">
        <v>409</v>
      </c>
    </row>
    <row r="11" spans="1:14" x14ac:dyDescent="0.3">
      <c r="A11" s="1" t="s">
        <v>332</v>
      </c>
      <c r="B11" s="1" t="s">
        <v>356</v>
      </c>
      <c r="C11" s="1" t="s">
        <v>264</v>
      </c>
      <c r="D11" s="1" t="s">
        <v>357</v>
      </c>
      <c r="E11" s="1" t="s">
        <v>358</v>
      </c>
      <c r="F11" s="1" t="s">
        <v>359</v>
      </c>
      <c r="G11" s="10" t="s">
        <v>360</v>
      </c>
      <c r="H11" s="10" t="s">
        <v>203</v>
      </c>
      <c r="I11" s="1"/>
      <c r="J11" s="10"/>
      <c r="K11" s="10"/>
      <c r="L11" s="10"/>
      <c r="M11" s="10"/>
      <c r="N11" s="10"/>
    </row>
    <row r="12" spans="1:14" x14ac:dyDescent="0.3">
      <c r="A12" s="1" t="s">
        <v>361</v>
      </c>
      <c r="B12" s="1" t="s">
        <v>362</v>
      </c>
      <c r="C12" s="1" t="s">
        <v>334</v>
      </c>
      <c r="D12" s="1" t="s">
        <v>335</v>
      </c>
      <c r="E12" s="1" t="s">
        <v>336</v>
      </c>
      <c r="F12" s="1" t="s">
        <v>337</v>
      </c>
      <c r="G12" s="10" t="s">
        <v>363</v>
      </c>
      <c r="H12" s="10" t="s">
        <v>228</v>
      </c>
      <c r="I12" s="1"/>
      <c r="J12" s="10"/>
      <c r="K12" s="10"/>
      <c r="L12" s="10"/>
      <c r="M12" s="10"/>
      <c r="N12" s="10"/>
    </row>
    <row r="13" spans="1:14" x14ac:dyDescent="0.3">
      <c r="A13" s="1" t="s">
        <v>361</v>
      </c>
      <c r="B13" s="1" t="s">
        <v>364</v>
      </c>
      <c r="C13" s="1" t="s">
        <v>340</v>
      </c>
      <c r="D13" s="1" t="s">
        <v>341</v>
      </c>
      <c r="E13" s="1" t="s">
        <v>336</v>
      </c>
      <c r="F13" s="1" t="s">
        <v>264</v>
      </c>
      <c r="G13" s="10" t="s">
        <v>365</v>
      </c>
      <c r="H13" s="10" t="s">
        <v>228</v>
      </c>
      <c r="I13" s="1"/>
      <c r="J13" s="10" t="s">
        <v>410</v>
      </c>
      <c r="K13" s="10" t="s">
        <v>411</v>
      </c>
      <c r="L13" s="10" t="s">
        <v>18</v>
      </c>
      <c r="M13" s="10" t="s">
        <v>412</v>
      </c>
      <c r="N13" s="10" t="s">
        <v>413</v>
      </c>
    </row>
    <row r="14" spans="1:14" ht="27.6" x14ac:dyDescent="0.3">
      <c r="A14" s="1" t="s">
        <v>366</v>
      </c>
      <c r="B14" s="1" t="s">
        <v>333</v>
      </c>
      <c r="C14" s="1" t="s">
        <v>367</v>
      </c>
      <c r="D14" s="1" t="s">
        <v>335</v>
      </c>
      <c r="E14" s="1" t="s">
        <v>336</v>
      </c>
      <c r="F14" s="1" t="s">
        <v>264</v>
      </c>
      <c r="G14" s="10" t="s">
        <v>368</v>
      </c>
      <c r="H14" s="10" t="s">
        <v>228</v>
      </c>
      <c r="I14" s="1"/>
      <c r="J14" s="10" t="s">
        <v>414</v>
      </c>
      <c r="K14" s="10" t="s">
        <v>358</v>
      </c>
      <c r="L14" s="10" t="s">
        <v>267</v>
      </c>
      <c r="M14" s="10" t="s">
        <v>415</v>
      </c>
      <c r="N14" s="10"/>
    </row>
    <row r="15" spans="1:14" ht="27.6" x14ac:dyDescent="0.3">
      <c r="A15" s="1" t="s">
        <v>366</v>
      </c>
      <c r="B15" s="1" t="s">
        <v>362</v>
      </c>
      <c r="C15" s="1" t="s">
        <v>367</v>
      </c>
      <c r="D15" s="1" t="s">
        <v>335</v>
      </c>
      <c r="E15" s="1" t="s">
        <v>336</v>
      </c>
      <c r="F15" s="1" t="s">
        <v>264</v>
      </c>
      <c r="G15" s="10" t="s">
        <v>369</v>
      </c>
      <c r="H15" s="10" t="s">
        <v>228</v>
      </c>
      <c r="I15" s="1"/>
      <c r="J15" s="10" t="s">
        <v>416</v>
      </c>
      <c r="K15" s="10" t="s">
        <v>358</v>
      </c>
      <c r="L15" s="10" t="s">
        <v>267</v>
      </c>
      <c r="M15" s="10" t="s">
        <v>417</v>
      </c>
      <c r="N15" s="10"/>
    </row>
    <row r="16" spans="1:14" ht="27.6" x14ac:dyDescent="0.3">
      <c r="A16" s="1" t="s">
        <v>370</v>
      </c>
      <c r="B16" s="1" t="s">
        <v>371</v>
      </c>
      <c r="C16" s="1" t="s">
        <v>334</v>
      </c>
      <c r="D16" s="1" t="s">
        <v>335</v>
      </c>
      <c r="E16" s="1" t="s">
        <v>336</v>
      </c>
      <c r="F16" s="1" t="s">
        <v>337</v>
      </c>
      <c r="G16" s="10" t="s">
        <v>372</v>
      </c>
      <c r="H16" s="10" t="s">
        <v>207</v>
      </c>
      <c r="I16" s="1"/>
      <c r="J16" s="10" t="s">
        <v>418</v>
      </c>
      <c r="K16" s="10" t="s">
        <v>358</v>
      </c>
      <c r="L16" s="10" t="s">
        <v>267</v>
      </c>
      <c r="M16" s="10" t="s">
        <v>415</v>
      </c>
      <c r="N16" s="10"/>
    </row>
    <row r="17" spans="1:14" ht="27.6" x14ac:dyDescent="0.3">
      <c r="A17" s="1" t="s">
        <v>370</v>
      </c>
      <c r="B17" s="1" t="s">
        <v>333</v>
      </c>
      <c r="C17" s="1" t="s">
        <v>373</v>
      </c>
      <c r="D17" s="1" t="s">
        <v>335</v>
      </c>
      <c r="E17" s="1" t="s">
        <v>336</v>
      </c>
      <c r="F17" s="1" t="s">
        <v>264</v>
      </c>
      <c r="G17" s="10" t="s">
        <v>368</v>
      </c>
      <c r="H17" s="10" t="s">
        <v>207</v>
      </c>
      <c r="I17" s="1"/>
      <c r="J17" s="10" t="s">
        <v>419</v>
      </c>
      <c r="K17" s="10" t="s">
        <v>358</v>
      </c>
      <c r="L17" s="10" t="s">
        <v>267</v>
      </c>
      <c r="M17" s="10" t="s">
        <v>154</v>
      </c>
      <c r="N17" s="10"/>
    </row>
    <row r="18" spans="1:14" ht="41.4" x14ac:dyDescent="0.3">
      <c r="A18" s="1" t="s">
        <v>370</v>
      </c>
      <c r="B18" s="1" t="s">
        <v>374</v>
      </c>
      <c r="C18" s="1" t="s">
        <v>264</v>
      </c>
      <c r="D18" s="1" t="s">
        <v>357</v>
      </c>
      <c r="E18" s="1" t="s">
        <v>336</v>
      </c>
      <c r="F18" s="1" t="s">
        <v>264</v>
      </c>
      <c r="G18" s="10" t="s">
        <v>375</v>
      </c>
      <c r="H18" s="10" t="s">
        <v>211</v>
      </c>
      <c r="I18" s="1"/>
      <c r="J18" s="10" t="s">
        <v>420</v>
      </c>
      <c r="K18" s="10" t="s">
        <v>358</v>
      </c>
      <c r="L18" s="10" t="s">
        <v>267</v>
      </c>
      <c r="M18" s="10" t="s">
        <v>415</v>
      </c>
      <c r="N18" s="10"/>
    </row>
    <row r="19" spans="1:14" ht="27.6" x14ac:dyDescent="0.3">
      <c r="A19" s="1" t="s">
        <v>376</v>
      </c>
      <c r="B19" s="1" t="s">
        <v>377</v>
      </c>
      <c r="C19" s="1" t="s">
        <v>334</v>
      </c>
      <c r="D19" s="1" t="s">
        <v>335</v>
      </c>
      <c r="E19" s="1" t="s">
        <v>336</v>
      </c>
      <c r="F19" s="1" t="s">
        <v>337</v>
      </c>
      <c r="G19" s="10" t="s">
        <v>378</v>
      </c>
      <c r="H19" s="10" t="s">
        <v>223</v>
      </c>
      <c r="I19" s="1"/>
      <c r="J19" s="10" t="s">
        <v>421</v>
      </c>
      <c r="K19" s="10" t="s">
        <v>358</v>
      </c>
      <c r="L19" s="10" t="s">
        <v>267</v>
      </c>
      <c r="M19" s="10" t="s">
        <v>422</v>
      </c>
      <c r="N19" s="10"/>
    </row>
    <row r="20" spans="1:14" ht="27.6" x14ac:dyDescent="0.3">
      <c r="A20" s="1" t="s">
        <v>376</v>
      </c>
      <c r="B20" s="1" t="s">
        <v>333</v>
      </c>
      <c r="C20" s="1" t="s">
        <v>373</v>
      </c>
      <c r="D20" s="1" t="s">
        <v>335</v>
      </c>
      <c r="E20" s="1" t="s">
        <v>336</v>
      </c>
      <c r="F20" s="1" t="s">
        <v>264</v>
      </c>
      <c r="G20" s="10" t="s">
        <v>368</v>
      </c>
      <c r="H20" s="10" t="s">
        <v>219</v>
      </c>
      <c r="I20" s="1"/>
      <c r="J20" s="10" t="s">
        <v>423</v>
      </c>
      <c r="K20" s="10" t="s">
        <v>358</v>
      </c>
      <c r="L20" s="10" t="s">
        <v>267</v>
      </c>
      <c r="M20" s="10" t="s">
        <v>64</v>
      </c>
      <c r="N20" s="10"/>
    </row>
    <row r="21" spans="1:14" x14ac:dyDescent="0.3">
      <c r="A21" s="1" t="s">
        <v>376</v>
      </c>
      <c r="B21" s="1" t="s">
        <v>379</v>
      </c>
      <c r="C21" s="1" t="s">
        <v>264</v>
      </c>
      <c r="D21" s="1" t="s">
        <v>344</v>
      </c>
      <c r="E21" s="1" t="s">
        <v>336</v>
      </c>
      <c r="F21" s="1" t="s">
        <v>264</v>
      </c>
      <c r="G21" s="10" t="s">
        <v>380</v>
      </c>
      <c r="H21" s="10" t="s">
        <v>223</v>
      </c>
      <c r="I21" s="1"/>
      <c r="J21" s="1"/>
      <c r="K21" s="1"/>
      <c r="L21" s="1"/>
      <c r="M21" s="1"/>
      <c r="N21" s="1"/>
    </row>
    <row r="22" spans="1:14" x14ac:dyDescent="0.3">
      <c r="A22" s="1" t="s">
        <v>376</v>
      </c>
      <c r="B22" s="1" t="s">
        <v>374</v>
      </c>
      <c r="C22" s="1" t="s">
        <v>264</v>
      </c>
      <c r="D22" s="1" t="s">
        <v>357</v>
      </c>
      <c r="E22" s="1" t="s">
        <v>336</v>
      </c>
      <c r="F22" s="1" t="s">
        <v>264</v>
      </c>
      <c r="G22" s="10" t="s">
        <v>381</v>
      </c>
      <c r="H22" s="10" t="s">
        <v>223</v>
      </c>
      <c r="I22" s="1"/>
      <c r="J22" s="1"/>
      <c r="K22" s="1"/>
      <c r="L22" s="1"/>
      <c r="M22" s="1"/>
      <c r="N22" s="1"/>
    </row>
    <row r="23" spans="1:14" x14ac:dyDescent="0.3">
      <c r="A23" s="1" t="s">
        <v>382</v>
      </c>
      <c r="B23" s="1" t="s">
        <v>383</v>
      </c>
      <c r="C23" s="1" t="s">
        <v>334</v>
      </c>
      <c r="D23" s="1" t="s">
        <v>384</v>
      </c>
      <c r="E23" s="1" t="s">
        <v>336</v>
      </c>
      <c r="F23" s="1" t="s">
        <v>337</v>
      </c>
      <c r="G23" s="10" t="s">
        <v>385</v>
      </c>
      <c r="H23" s="10" t="s">
        <v>232</v>
      </c>
      <c r="I23" s="1"/>
      <c r="J23" s="1"/>
      <c r="K23" s="1"/>
      <c r="L23" s="1"/>
      <c r="M23" s="1"/>
      <c r="N23" s="1"/>
    </row>
    <row r="24" spans="1:14" x14ac:dyDescent="0.3">
      <c r="A24" s="1" t="s">
        <v>382</v>
      </c>
      <c r="B24" s="1" t="s">
        <v>333</v>
      </c>
      <c r="C24" s="1" t="s">
        <v>373</v>
      </c>
      <c r="D24" s="1" t="s">
        <v>335</v>
      </c>
      <c r="E24" s="1" t="s">
        <v>358</v>
      </c>
      <c r="F24" s="1" t="s">
        <v>359</v>
      </c>
      <c r="G24" s="10" t="s">
        <v>386</v>
      </c>
      <c r="H24" s="10" t="s">
        <v>232</v>
      </c>
      <c r="I24" s="1"/>
      <c r="J24" s="1"/>
      <c r="K24" s="1"/>
      <c r="L24" s="1"/>
      <c r="M24" s="1"/>
      <c r="N24" s="1"/>
    </row>
    <row r="25" spans="1:14" x14ac:dyDescent="0.3">
      <c r="A25" s="1" t="s">
        <v>382</v>
      </c>
      <c r="B25" s="1" t="s">
        <v>387</v>
      </c>
      <c r="C25" s="1" t="s">
        <v>264</v>
      </c>
      <c r="D25" s="1" t="s">
        <v>388</v>
      </c>
      <c r="E25" s="1" t="s">
        <v>336</v>
      </c>
      <c r="F25" s="1" t="s">
        <v>264</v>
      </c>
      <c r="G25" s="10" t="s">
        <v>389</v>
      </c>
      <c r="H25" s="10" t="s">
        <v>232</v>
      </c>
      <c r="I25" s="1"/>
      <c r="J25" s="1"/>
      <c r="K25" s="1"/>
      <c r="L25" s="1"/>
      <c r="M25" s="1"/>
      <c r="N25" s="1"/>
    </row>
  </sheetData>
  <mergeCells count="1">
    <mergeCell ref="A1:N2"/>
  </mergeCells>
  <conditionalFormatting sqref="L14:L20">
    <cfRule type="expression" dxfId="39" priority="1">
      <formula>L14="Pass"</formula>
    </cfRule>
  </conditionalFormatting>
  <conditionalFormatting sqref="L14:L20">
    <cfRule type="expression" dxfId="38" priority="2">
      <formula>L14="Approved"</formula>
    </cfRule>
  </conditionalFormatting>
  <conditionalFormatting sqref="L14:L20">
    <cfRule type="expression" dxfId="37" priority="3">
      <formula>L14="Covered"</formula>
    </cfRule>
  </conditionalFormatting>
  <conditionalFormatting sqref="L14:L20">
    <cfRule type="expression" dxfId="36" priority="4">
      <formula>L14="Fail"</formula>
    </cfRule>
  </conditionalFormatting>
  <conditionalFormatting sqref="L14:L20">
    <cfRule type="expression" dxfId="35" priority="5">
      <formula>L14="Rejected"</formula>
    </cfRule>
  </conditionalFormatting>
  <conditionalFormatting sqref="L14:L20">
    <cfRule type="expression" dxfId="34" priority="6">
      <formula>L14="Gap"</formula>
    </cfRule>
  </conditionalFormatting>
  <conditionalFormatting sqref="L14:L20">
    <cfRule type="expression" dxfId="33" priority="7">
      <formula>L14="Belum"</formula>
    </cfRule>
  </conditionalFormatting>
  <conditionalFormatting sqref="L14:L20">
    <cfRule type="expression" dxfId="32" priority="8">
      <formula>L14="Draft"</formula>
    </cfRule>
  </conditionalFormatting>
  <conditionalFormatting sqref="L14:L20">
    <cfRule type="expression" dxfId="31" priority="9">
      <formula>L14="Review"</formula>
    </cfRule>
  </conditionalFormatting>
  <conditionalFormatting sqref="L14:L20">
    <cfRule type="expression" dxfId="30" priority="10">
      <formula>L14="Open"</formula>
    </cfRule>
  </conditionalFormatting>
  <dataValidations count="1">
    <dataValidation type="list" allowBlank="1" showInputMessage="1" showErrorMessage="1" sqref="L14:L20" xr:uid="{AF0A997B-FF3B-4D78-97B2-012AEC0C7A2A}">
      <formula1>"Belum,Pass,Fail,N/A"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D324-8978-43EE-9241-D83242EB7D78}">
  <sheetPr>
    <tabColor rgb="FF70AD47"/>
  </sheetPr>
  <dimension ref="A1:J26"/>
  <sheetViews>
    <sheetView showGridLines="0" workbookViewId="0">
      <pane ySplit="4" topLeftCell="A5" activePane="bottomLeft" state="frozen"/>
      <selection pane="bottomLeft" activeCell="H9" sqref="H9"/>
    </sheetView>
  </sheetViews>
  <sheetFormatPr defaultRowHeight="14.4" x14ac:dyDescent="0.3"/>
  <cols>
    <col min="1" max="1" width="19.44140625" customWidth="1"/>
    <col min="2" max="2" width="16.6640625" customWidth="1"/>
    <col min="3" max="3" width="22.21875" customWidth="1"/>
    <col min="4" max="4" width="45.33203125" customWidth="1"/>
    <col min="5" max="5" width="20.33203125" customWidth="1"/>
    <col min="6" max="6" width="45.33203125" customWidth="1"/>
    <col min="7" max="7" width="13" customWidth="1"/>
    <col min="8" max="8" width="26.88671875" customWidth="1"/>
    <col min="9" max="9" width="20.33203125" customWidth="1"/>
    <col min="10" max="10" width="29.6640625" customWidth="1"/>
  </cols>
  <sheetData>
    <row r="1" spans="1:10" x14ac:dyDescent="0.3">
      <c r="A1" s="5" t="s">
        <v>424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1" t="s">
        <v>425</v>
      </c>
      <c r="B4" s="1" t="s">
        <v>426</v>
      </c>
      <c r="C4" s="1" t="s">
        <v>260</v>
      </c>
      <c r="D4" s="1" t="s">
        <v>427</v>
      </c>
      <c r="E4" s="1" t="s">
        <v>428</v>
      </c>
      <c r="F4" s="1" t="s">
        <v>429</v>
      </c>
      <c r="G4" s="1" t="s">
        <v>430</v>
      </c>
      <c r="H4" s="1" t="s">
        <v>413</v>
      </c>
      <c r="I4" s="1" t="s">
        <v>431</v>
      </c>
      <c r="J4" s="1" t="s">
        <v>432</v>
      </c>
    </row>
    <row r="5" spans="1:10" x14ac:dyDescent="0.3">
      <c r="A5" s="1" t="s">
        <v>433</v>
      </c>
      <c r="B5" s="1" t="s">
        <v>434</v>
      </c>
      <c r="C5" s="1" t="s">
        <v>184</v>
      </c>
      <c r="D5" s="10" t="s">
        <v>435</v>
      </c>
      <c r="E5" s="10" t="s">
        <v>436</v>
      </c>
      <c r="F5" s="10" t="s">
        <v>437</v>
      </c>
      <c r="G5" s="10" t="s">
        <v>267</v>
      </c>
      <c r="H5" s="10"/>
      <c r="I5" s="10"/>
      <c r="J5" s="10"/>
    </row>
    <row r="6" spans="1:10" x14ac:dyDescent="0.3">
      <c r="A6" s="1" t="s">
        <v>438</v>
      </c>
      <c r="B6" s="1" t="s">
        <v>439</v>
      </c>
      <c r="C6" s="1" t="s">
        <v>189</v>
      </c>
      <c r="D6" s="10" t="s">
        <v>440</v>
      </c>
      <c r="E6" s="10" t="s">
        <v>441</v>
      </c>
      <c r="F6" s="10" t="s">
        <v>442</v>
      </c>
      <c r="G6" s="10" t="s">
        <v>267</v>
      </c>
      <c r="H6" s="10"/>
      <c r="I6" s="10"/>
      <c r="J6" s="10"/>
    </row>
    <row r="7" spans="1:10" x14ac:dyDescent="0.3">
      <c r="A7" s="1" t="s">
        <v>443</v>
      </c>
      <c r="B7" s="1" t="s">
        <v>185</v>
      </c>
      <c r="C7" s="1" t="s">
        <v>195</v>
      </c>
      <c r="D7" s="10" t="s">
        <v>444</v>
      </c>
      <c r="E7" s="10" t="s">
        <v>445</v>
      </c>
      <c r="F7" s="10" t="s">
        <v>446</v>
      </c>
      <c r="G7" s="10" t="s">
        <v>267</v>
      </c>
      <c r="H7" s="10"/>
      <c r="I7" s="10"/>
      <c r="J7" s="10"/>
    </row>
    <row r="8" spans="1:10" x14ac:dyDescent="0.3">
      <c r="A8" s="1" t="s">
        <v>447</v>
      </c>
      <c r="B8" s="1" t="s">
        <v>154</v>
      </c>
      <c r="C8" s="1" t="s">
        <v>195</v>
      </c>
      <c r="D8" s="10" t="s">
        <v>448</v>
      </c>
      <c r="E8" s="10" t="s">
        <v>109</v>
      </c>
      <c r="F8" s="10" t="s">
        <v>449</v>
      </c>
      <c r="G8" s="10" t="s">
        <v>267</v>
      </c>
      <c r="H8" s="10"/>
      <c r="I8" s="10"/>
      <c r="J8" s="10"/>
    </row>
    <row r="9" spans="1:10" x14ac:dyDescent="0.3">
      <c r="A9" s="1" t="s">
        <v>450</v>
      </c>
      <c r="B9" s="1" t="s">
        <v>451</v>
      </c>
      <c r="C9" s="1" t="s">
        <v>452</v>
      </c>
      <c r="D9" s="10" t="s">
        <v>453</v>
      </c>
      <c r="E9" s="10" t="s">
        <v>113</v>
      </c>
      <c r="F9" s="10" t="s">
        <v>454</v>
      </c>
      <c r="G9" s="10" t="s">
        <v>267</v>
      </c>
      <c r="H9" s="10"/>
      <c r="I9" s="10"/>
      <c r="J9" s="10"/>
    </row>
    <row r="10" spans="1:10" x14ac:dyDescent="0.3">
      <c r="A10" s="1" t="s">
        <v>455</v>
      </c>
      <c r="B10" s="1" t="s">
        <v>456</v>
      </c>
      <c r="C10" s="1" t="s">
        <v>203</v>
      </c>
      <c r="D10" s="10" t="s">
        <v>457</v>
      </c>
      <c r="E10" s="10" t="s">
        <v>458</v>
      </c>
      <c r="F10" s="10" t="s">
        <v>459</v>
      </c>
      <c r="G10" s="10" t="s">
        <v>267</v>
      </c>
      <c r="H10" s="10"/>
      <c r="I10" s="10"/>
      <c r="J10" s="10"/>
    </row>
    <row r="11" spans="1:10" x14ac:dyDescent="0.3">
      <c r="A11" s="1" t="s">
        <v>460</v>
      </c>
      <c r="B11" s="1" t="s">
        <v>208</v>
      </c>
      <c r="C11" s="1" t="s">
        <v>207</v>
      </c>
      <c r="D11" s="10" t="s">
        <v>461</v>
      </c>
      <c r="E11" s="10" t="s">
        <v>462</v>
      </c>
      <c r="F11" s="10" t="s">
        <v>463</v>
      </c>
      <c r="G11" s="10" t="s">
        <v>267</v>
      </c>
      <c r="H11" s="10"/>
      <c r="I11" s="10"/>
      <c r="J11" s="10"/>
    </row>
    <row r="12" spans="1:10" x14ac:dyDescent="0.3">
      <c r="A12" s="1" t="s">
        <v>464</v>
      </c>
      <c r="B12" s="1" t="s">
        <v>154</v>
      </c>
      <c r="C12" s="1" t="s">
        <v>211</v>
      </c>
      <c r="D12" s="10" t="s">
        <v>465</v>
      </c>
      <c r="E12" s="10" t="s">
        <v>117</v>
      </c>
      <c r="F12" s="10" t="s">
        <v>466</v>
      </c>
      <c r="G12" s="10" t="s">
        <v>267</v>
      </c>
      <c r="H12" s="10"/>
      <c r="I12" s="10"/>
      <c r="J12" s="10"/>
    </row>
    <row r="13" spans="1:10" x14ac:dyDescent="0.3">
      <c r="A13" s="1" t="s">
        <v>467</v>
      </c>
      <c r="B13" s="1" t="s">
        <v>154</v>
      </c>
      <c r="C13" s="1" t="s">
        <v>215</v>
      </c>
      <c r="D13" s="10" t="s">
        <v>468</v>
      </c>
      <c r="E13" s="10" t="s">
        <v>469</v>
      </c>
      <c r="F13" s="10" t="s">
        <v>470</v>
      </c>
      <c r="G13" s="10" t="s">
        <v>267</v>
      </c>
      <c r="H13" s="10"/>
      <c r="I13" s="10"/>
      <c r="J13" s="10"/>
    </row>
    <row r="14" spans="1:10" x14ac:dyDescent="0.3">
      <c r="A14" s="1" t="s">
        <v>471</v>
      </c>
      <c r="B14" s="1" t="s">
        <v>456</v>
      </c>
      <c r="C14" s="1" t="s">
        <v>219</v>
      </c>
      <c r="D14" s="10" t="s">
        <v>472</v>
      </c>
      <c r="E14" s="10" t="s">
        <v>473</v>
      </c>
      <c r="F14" s="10" t="s">
        <v>474</v>
      </c>
      <c r="G14" s="10" t="s">
        <v>267</v>
      </c>
      <c r="H14" s="10"/>
      <c r="I14" s="10"/>
      <c r="J14" s="10"/>
    </row>
    <row r="15" spans="1:10" x14ac:dyDescent="0.3">
      <c r="A15" s="1" t="s">
        <v>475</v>
      </c>
      <c r="B15" s="1" t="s">
        <v>154</v>
      </c>
      <c r="C15" s="1" t="s">
        <v>223</v>
      </c>
      <c r="D15" s="10" t="s">
        <v>476</v>
      </c>
      <c r="E15" s="10" t="s">
        <v>109</v>
      </c>
      <c r="F15" s="10" t="s">
        <v>477</v>
      </c>
      <c r="G15" s="10" t="s">
        <v>267</v>
      </c>
      <c r="H15" s="10"/>
      <c r="I15" s="10"/>
      <c r="J15" s="10"/>
    </row>
    <row r="16" spans="1:10" x14ac:dyDescent="0.3">
      <c r="A16" s="1" t="s">
        <v>478</v>
      </c>
      <c r="B16" s="1" t="s">
        <v>479</v>
      </c>
      <c r="C16" s="1" t="s">
        <v>223</v>
      </c>
      <c r="D16" s="10" t="s">
        <v>480</v>
      </c>
      <c r="E16" s="10" t="s">
        <v>113</v>
      </c>
      <c r="F16" s="10" t="s">
        <v>481</v>
      </c>
      <c r="G16" s="10" t="s">
        <v>267</v>
      </c>
      <c r="H16" s="10"/>
      <c r="I16" s="10"/>
      <c r="J16" s="10"/>
    </row>
    <row r="17" spans="1:10" x14ac:dyDescent="0.3">
      <c r="A17" s="1" t="s">
        <v>482</v>
      </c>
      <c r="B17" s="1" t="s">
        <v>229</v>
      </c>
      <c r="C17" s="1" t="s">
        <v>228</v>
      </c>
      <c r="D17" s="10" t="s">
        <v>483</v>
      </c>
      <c r="E17" s="10" t="s">
        <v>133</v>
      </c>
      <c r="F17" s="10" t="s">
        <v>484</v>
      </c>
      <c r="G17" s="10" t="s">
        <v>267</v>
      </c>
      <c r="H17" s="10"/>
      <c r="I17" s="10"/>
      <c r="J17" s="10"/>
    </row>
    <row r="18" spans="1:10" x14ac:dyDescent="0.3">
      <c r="A18" s="1" t="s">
        <v>485</v>
      </c>
      <c r="B18" s="1" t="s">
        <v>229</v>
      </c>
      <c r="C18" s="1" t="s">
        <v>228</v>
      </c>
      <c r="D18" s="10" t="s">
        <v>486</v>
      </c>
      <c r="E18" s="10" t="s">
        <v>469</v>
      </c>
      <c r="F18" s="10" t="s">
        <v>487</v>
      </c>
      <c r="G18" s="10" t="s">
        <v>267</v>
      </c>
      <c r="H18" s="10"/>
      <c r="I18" s="10"/>
      <c r="J18" s="10"/>
    </row>
    <row r="19" spans="1:10" x14ac:dyDescent="0.3">
      <c r="A19" s="1" t="s">
        <v>488</v>
      </c>
      <c r="B19" s="1" t="s">
        <v>233</v>
      </c>
      <c r="C19" s="1" t="s">
        <v>632</v>
      </c>
      <c r="D19" s="10" t="s">
        <v>489</v>
      </c>
      <c r="E19" s="10" t="s">
        <v>490</v>
      </c>
      <c r="F19" s="10" t="s">
        <v>491</v>
      </c>
      <c r="G19" s="10" t="s">
        <v>267</v>
      </c>
      <c r="H19" s="10"/>
      <c r="I19" s="10"/>
      <c r="J19" s="10"/>
    </row>
    <row r="20" spans="1:10" x14ac:dyDescent="0.3">
      <c r="A20" s="1" t="s">
        <v>492</v>
      </c>
      <c r="B20" s="1" t="s">
        <v>493</v>
      </c>
      <c r="C20" s="1" t="s">
        <v>153</v>
      </c>
      <c r="D20" s="10" t="s">
        <v>494</v>
      </c>
      <c r="E20" s="10" t="s">
        <v>495</v>
      </c>
      <c r="F20" s="10" t="s">
        <v>496</v>
      </c>
      <c r="G20" s="10" t="s">
        <v>267</v>
      </c>
      <c r="H20" s="10"/>
      <c r="I20" s="10"/>
      <c r="J20" s="10"/>
    </row>
    <row r="21" spans="1:10" x14ac:dyDescent="0.3">
      <c r="A21" s="1" t="s">
        <v>497</v>
      </c>
      <c r="B21" s="1" t="s">
        <v>140</v>
      </c>
      <c r="C21" s="1" t="s">
        <v>139</v>
      </c>
      <c r="D21" s="10" t="s">
        <v>498</v>
      </c>
      <c r="E21" s="10" t="s">
        <v>499</v>
      </c>
      <c r="F21" s="10" t="s">
        <v>500</v>
      </c>
      <c r="G21" s="10" t="s">
        <v>267</v>
      </c>
      <c r="H21" s="10"/>
      <c r="I21" s="10"/>
      <c r="J21" s="10"/>
    </row>
    <row r="22" spans="1:10" x14ac:dyDescent="0.3">
      <c r="A22" s="1" t="s">
        <v>501</v>
      </c>
      <c r="B22" s="1" t="s">
        <v>165</v>
      </c>
      <c r="C22" s="1" t="s">
        <v>164</v>
      </c>
      <c r="D22" s="10" t="s">
        <v>502</v>
      </c>
      <c r="E22" s="10" t="s">
        <v>503</v>
      </c>
      <c r="F22" s="10" t="s">
        <v>504</v>
      </c>
      <c r="G22" s="10" t="s">
        <v>267</v>
      </c>
      <c r="H22" s="10"/>
      <c r="I22" s="10"/>
      <c r="J22" s="10"/>
    </row>
    <row r="23" spans="1:10" x14ac:dyDescent="0.3">
      <c r="A23" s="1" t="s">
        <v>505</v>
      </c>
      <c r="B23" s="1" t="s">
        <v>171</v>
      </c>
      <c r="C23" s="1" t="s">
        <v>170</v>
      </c>
      <c r="D23" s="10" t="s">
        <v>506</v>
      </c>
      <c r="E23" s="10" t="s">
        <v>507</v>
      </c>
      <c r="F23" s="10" t="s">
        <v>508</v>
      </c>
      <c r="G23" s="10" t="s">
        <v>267</v>
      </c>
      <c r="H23" s="10"/>
      <c r="I23" s="10"/>
      <c r="J23" s="10"/>
    </row>
    <row r="24" spans="1:10" x14ac:dyDescent="0.3">
      <c r="A24" s="1" t="s">
        <v>509</v>
      </c>
      <c r="B24" s="1" t="s">
        <v>510</v>
      </c>
      <c r="C24" s="1" t="s">
        <v>511</v>
      </c>
      <c r="D24" s="10" t="s">
        <v>512</v>
      </c>
      <c r="E24" s="10" t="s">
        <v>513</v>
      </c>
      <c r="F24" s="10" t="s">
        <v>514</v>
      </c>
      <c r="G24" s="10" t="s">
        <v>267</v>
      </c>
      <c r="H24" s="10"/>
      <c r="I24" s="10"/>
      <c r="J24" s="10"/>
    </row>
    <row r="25" spans="1:10" x14ac:dyDescent="0.3">
      <c r="A25" s="1" t="s">
        <v>515</v>
      </c>
      <c r="B25" s="1" t="s">
        <v>516</v>
      </c>
      <c r="C25" s="1" t="s">
        <v>517</v>
      </c>
      <c r="D25" s="10" t="s">
        <v>518</v>
      </c>
      <c r="E25" s="10" t="s">
        <v>519</v>
      </c>
      <c r="F25" s="10" t="s">
        <v>520</v>
      </c>
      <c r="G25" s="10" t="s">
        <v>267</v>
      </c>
      <c r="H25" s="10"/>
      <c r="I25" s="10"/>
      <c r="J25" s="10"/>
    </row>
    <row r="26" spans="1:10" x14ac:dyDescent="0.3">
      <c r="A26" s="1" t="s">
        <v>521</v>
      </c>
      <c r="B26" s="1" t="s">
        <v>522</v>
      </c>
      <c r="C26" s="1" t="s">
        <v>517</v>
      </c>
      <c r="D26" s="10" t="s">
        <v>523</v>
      </c>
      <c r="E26" s="10" t="s">
        <v>524</v>
      </c>
      <c r="F26" s="10" t="s">
        <v>525</v>
      </c>
      <c r="G26" s="10" t="s">
        <v>267</v>
      </c>
      <c r="H26" s="10"/>
      <c r="I26" s="10"/>
      <c r="J26" s="10"/>
    </row>
  </sheetData>
  <mergeCells count="1">
    <mergeCell ref="A1:J2"/>
  </mergeCells>
  <conditionalFormatting sqref="G5:G26">
    <cfRule type="expression" dxfId="29" priority="1">
      <formula>G5="Pass"</formula>
    </cfRule>
  </conditionalFormatting>
  <conditionalFormatting sqref="G5:G26">
    <cfRule type="expression" dxfId="28" priority="2">
      <formula>G5="Approved"</formula>
    </cfRule>
  </conditionalFormatting>
  <conditionalFormatting sqref="G5:G26">
    <cfRule type="expression" dxfId="27" priority="3">
      <formula>G5="Covered"</formula>
    </cfRule>
  </conditionalFormatting>
  <conditionalFormatting sqref="G5:G26">
    <cfRule type="expression" dxfId="26" priority="4">
      <formula>G5="Fail"</formula>
    </cfRule>
  </conditionalFormatting>
  <conditionalFormatting sqref="G5:G26">
    <cfRule type="expression" dxfId="25" priority="5">
      <formula>G5="Rejected"</formula>
    </cfRule>
  </conditionalFormatting>
  <conditionalFormatting sqref="G5:G26">
    <cfRule type="expression" dxfId="24" priority="6">
      <formula>G5="Gap"</formula>
    </cfRule>
  </conditionalFormatting>
  <conditionalFormatting sqref="G5:G26">
    <cfRule type="expression" dxfId="23" priority="7">
      <formula>G5="Belum"</formula>
    </cfRule>
  </conditionalFormatting>
  <conditionalFormatting sqref="G5:G26">
    <cfRule type="expression" dxfId="22" priority="8">
      <formula>G5="Draft"</formula>
    </cfRule>
  </conditionalFormatting>
  <conditionalFormatting sqref="G5:G26">
    <cfRule type="expression" dxfId="21" priority="9">
      <formula>G5="Review"</formula>
    </cfRule>
  </conditionalFormatting>
  <conditionalFormatting sqref="G5:G26">
    <cfRule type="expression" dxfId="20" priority="10">
      <formula>G5="Open"</formula>
    </cfRule>
  </conditionalFormatting>
  <dataValidations count="1">
    <dataValidation type="list" allowBlank="1" showInputMessage="1" showErrorMessage="1" sqref="G5:G26" xr:uid="{D3D95452-8E11-4367-85BC-FCE78DF4D33A}">
      <formula1>"Belum,Pass,Fail,N/A"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2D99-E3EC-4053-95D5-C52084E2624A}">
  <sheetPr>
    <tabColor rgb="FF70AD47"/>
  </sheetPr>
  <dimension ref="A1:H20"/>
  <sheetViews>
    <sheetView showGridLines="0" workbookViewId="0">
      <pane ySplit="4" topLeftCell="A5" activePane="bottomLeft" state="frozen"/>
      <selection pane="bottomLeft" activeCell="H9" sqref="H9"/>
    </sheetView>
  </sheetViews>
  <sheetFormatPr defaultRowHeight="14.4" x14ac:dyDescent="0.3"/>
  <cols>
    <col min="1" max="1" width="20.33203125" customWidth="1"/>
    <col min="2" max="2" width="32.44140625" customWidth="1"/>
    <col min="3" max="3" width="13.88671875" customWidth="1"/>
    <col min="4" max="4" width="32.44140625" customWidth="1"/>
    <col min="5" max="5" width="27.77734375" customWidth="1"/>
    <col min="6" max="8" width="15.77734375" customWidth="1"/>
  </cols>
  <sheetData>
    <row r="1" spans="1:8" x14ac:dyDescent="0.3">
      <c r="A1" s="5" t="s">
        <v>526</v>
      </c>
      <c r="B1" s="5"/>
      <c r="C1" s="5"/>
      <c r="D1" s="5"/>
      <c r="E1" s="5"/>
      <c r="F1" s="5"/>
      <c r="G1" s="5"/>
      <c r="H1" s="5"/>
    </row>
    <row r="2" spans="1:8" x14ac:dyDescent="0.3">
      <c r="A2" s="5"/>
      <c r="B2" s="5"/>
      <c r="C2" s="5"/>
      <c r="D2" s="5"/>
      <c r="E2" s="5"/>
      <c r="F2" s="5"/>
      <c r="G2" s="5"/>
      <c r="H2" s="5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 t="s">
        <v>527</v>
      </c>
      <c r="B4" s="1" t="s">
        <v>528</v>
      </c>
      <c r="C4" s="1" t="s">
        <v>529</v>
      </c>
      <c r="D4" s="1" t="s">
        <v>530</v>
      </c>
      <c r="E4" s="1" t="s">
        <v>425</v>
      </c>
      <c r="F4" s="1" t="s">
        <v>531</v>
      </c>
      <c r="G4" s="1" t="s">
        <v>532</v>
      </c>
      <c r="H4" s="1" t="s">
        <v>533</v>
      </c>
    </row>
    <row r="5" spans="1:8" x14ac:dyDescent="0.3">
      <c r="A5" s="1" t="s">
        <v>184</v>
      </c>
      <c r="B5" s="10" t="s">
        <v>534</v>
      </c>
      <c r="C5" s="10">
        <v>1</v>
      </c>
      <c r="D5" s="10" t="s">
        <v>264</v>
      </c>
      <c r="E5" s="10" t="s">
        <v>433</v>
      </c>
      <c r="F5" s="1" t="str">
        <f>_xlfn.IFNA(_xlfn.XLOOKUP(A5,'02_Requirements'!$A$5:$A$20,'02_Requirements'!$H$5:$H$20),"Missing")</f>
        <v>Draft</v>
      </c>
      <c r="G5" s="1" t="str">
        <f>IF(COUNTIF('05_Checksheet'!$C$5:$C$26,"*"&amp;A5&amp;"*")=0,"No Check",IF(COUNTIFS('05_Checksheet'!$C$5:$C$26,"*"&amp;A5&amp;"*",'05_Checksheet'!$G$5:$G$26,"Fail")&gt;0,"Fail",IF(COUNTIFS('05_Checksheet'!$C$5:$C$26,"*"&amp;A5&amp;"*",'05_Checksheet'!$G$5:$G$26,"Pass")=COUNTIF('05_Checksheet'!$C$5:$C$26,"*"&amp;A5&amp;"*"),"Pass","Belum")))</f>
        <v>Belum</v>
      </c>
      <c r="H5" s="1" t="str">
        <f>IF(AND(C5&lt;&gt;"",D5&lt;&gt;"",E5&lt;&gt;"",F5&lt;&gt;"Missing",G5&lt;&gt;"No Check"),"Covered","Gap")</f>
        <v>Covered</v>
      </c>
    </row>
    <row r="6" spans="1:8" x14ac:dyDescent="0.3">
      <c r="A6" s="1" t="s">
        <v>189</v>
      </c>
      <c r="B6" s="10" t="s">
        <v>535</v>
      </c>
      <c r="C6" s="10">
        <v>2</v>
      </c>
      <c r="D6" s="10" t="s">
        <v>264</v>
      </c>
      <c r="E6" s="10" t="s">
        <v>438</v>
      </c>
      <c r="F6" s="1" t="str">
        <f>_xlfn.IFNA(_xlfn.XLOOKUP(A6,'02_Requirements'!$A$5:$A$20,'02_Requirements'!$H$5:$H$20),"Missing")</f>
        <v>Draft</v>
      </c>
      <c r="G6" s="1" t="str">
        <f>IF(COUNTIF('05_Checksheet'!$C$5:$C$26,"*"&amp;A6&amp;"*")=0,"No Check",IF(COUNTIFS('05_Checksheet'!$C$5:$C$26,"*"&amp;A6&amp;"*",'05_Checksheet'!$G$5:$G$26,"Fail")&gt;0,"Fail",IF(COUNTIFS('05_Checksheet'!$C$5:$C$26,"*"&amp;A6&amp;"*",'05_Checksheet'!$G$5:$G$26,"Pass")=COUNTIF('05_Checksheet'!$C$5:$C$26,"*"&amp;A6&amp;"*"),"Pass","Belum")))</f>
        <v>Belum</v>
      </c>
      <c r="H6" s="1" t="str">
        <f t="shared" ref="H6:H20" si="0">IF(AND(C6&lt;&gt;"",D6&lt;&gt;"",E6&lt;&gt;"",F6&lt;&gt;"Missing",G6&lt;&gt;"No Check"),"Covered","Gap")</f>
        <v>Covered</v>
      </c>
    </row>
    <row r="7" spans="1:8" x14ac:dyDescent="0.3">
      <c r="A7" s="1" t="s">
        <v>195</v>
      </c>
      <c r="B7" s="10" t="s">
        <v>196</v>
      </c>
      <c r="C7" s="10" t="s">
        <v>536</v>
      </c>
      <c r="D7" s="10" t="s">
        <v>332</v>
      </c>
      <c r="E7" s="10" t="s">
        <v>537</v>
      </c>
      <c r="F7" s="1" t="str">
        <f>_xlfn.IFNA(_xlfn.XLOOKUP(A7,'02_Requirements'!$A$5:$A$20,'02_Requirements'!$H$5:$H$20),"Missing")</f>
        <v>Draft</v>
      </c>
      <c r="G7" s="1" t="str">
        <f>IF(COUNTIF('05_Checksheet'!$C$5:$C$26,"*"&amp;A7&amp;"*")=0,"No Check",IF(COUNTIFS('05_Checksheet'!$C$5:$C$26,"*"&amp;A7&amp;"*",'05_Checksheet'!$G$5:$G$26,"Fail")&gt;0,"Fail",IF(COUNTIFS('05_Checksheet'!$C$5:$C$26,"*"&amp;A7&amp;"*",'05_Checksheet'!$G$5:$G$26,"Pass")=COUNTIF('05_Checksheet'!$C$5:$C$26,"*"&amp;A7&amp;"*"),"Pass","Belum")))</f>
        <v>Belum</v>
      </c>
      <c r="H7" s="1" t="str">
        <f t="shared" si="0"/>
        <v>Covered</v>
      </c>
    </row>
    <row r="8" spans="1:8" x14ac:dyDescent="0.3">
      <c r="A8" s="1" t="s">
        <v>199</v>
      </c>
      <c r="B8" s="10" t="s">
        <v>538</v>
      </c>
      <c r="C8" s="10" t="s">
        <v>539</v>
      </c>
      <c r="D8" s="10" t="s">
        <v>332</v>
      </c>
      <c r="E8" s="10" t="s">
        <v>450</v>
      </c>
      <c r="F8" s="1" t="str">
        <f>_xlfn.IFNA(_xlfn.XLOOKUP(A8,'02_Requirements'!$A$5:$A$20,'02_Requirements'!$H$5:$H$20),"Missing")</f>
        <v>Draft</v>
      </c>
      <c r="G8" s="1" t="str">
        <f>IF(COUNTIF('05_Checksheet'!$C$5:$C$26,"*"&amp;A8&amp;"*")=0,"No Check",IF(COUNTIFS('05_Checksheet'!$C$5:$C$26,"*"&amp;A8&amp;"*",'05_Checksheet'!$G$5:$G$26,"Fail")&gt;0,"Fail",IF(COUNTIFS('05_Checksheet'!$C$5:$C$26,"*"&amp;A8&amp;"*",'05_Checksheet'!$G$5:$G$26,"Pass")=COUNTIF('05_Checksheet'!$C$5:$C$26,"*"&amp;A8&amp;"*"),"Pass","Belum")))</f>
        <v>Belum</v>
      </c>
      <c r="H8" s="1" t="str">
        <f t="shared" si="0"/>
        <v>Covered</v>
      </c>
    </row>
    <row r="9" spans="1:8" x14ac:dyDescent="0.3">
      <c r="A9" s="1" t="s">
        <v>203</v>
      </c>
      <c r="B9" s="10" t="s">
        <v>540</v>
      </c>
      <c r="C9" s="10">
        <v>5</v>
      </c>
      <c r="D9" s="10" t="s">
        <v>332</v>
      </c>
      <c r="E9" s="10" t="s">
        <v>541</v>
      </c>
      <c r="F9" s="1" t="str">
        <f>_xlfn.IFNA(_xlfn.XLOOKUP(A9,'02_Requirements'!$A$5:$A$20,'02_Requirements'!$H$5:$H$20),"Missing")</f>
        <v>Draft</v>
      </c>
      <c r="G9" s="1" t="str">
        <f>IF(COUNTIF('05_Checksheet'!$C$5:$C$26,"*"&amp;A9&amp;"*")=0,"No Check",IF(COUNTIFS('05_Checksheet'!$C$5:$C$26,"*"&amp;A9&amp;"*",'05_Checksheet'!$G$5:$G$26,"Fail")&gt;0,"Fail",IF(COUNTIFS('05_Checksheet'!$C$5:$C$26,"*"&amp;A9&amp;"*",'05_Checksheet'!$G$5:$G$26,"Pass")=COUNTIF('05_Checksheet'!$C$5:$C$26,"*"&amp;A9&amp;"*"),"Pass","Belum")))</f>
        <v>Belum</v>
      </c>
      <c r="H9" s="1" t="str">
        <f t="shared" si="0"/>
        <v>Covered</v>
      </c>
    </row>
    <row r="10" spans="1:8" x14ac:dyDescent="0.3">
      <c r="A10" s="1" t="s">
        <v>207</v>
      </c>
      <c r="B10" s="10" t="s">
        <v>208</v>
      </c>
      <c r="C10" s="10" t="s">
        <v>542</v>
      </c>
      <c r="D10" s="10" t="s">
        <v>370</v>
      </c>
      <c r="E10" s="10" t="s">
        <v>543</v>
      </c>
      <c r="F10" s="1" t="str">
        <f>_xlfn.IFNA(_xlfn.XLOOKUP(A10,'02_Requirements'!$A$5:$A$20,'02_Requirements'!$H$5:$H$20),"Missing")</f>
        <v>Draft</v>
      </c>
      <c r="G10" s="1" t="str">
        <f>IF(COUNTIF('05_Checksheet'!$C$5:$C$26,"*"&amp;A10&amp;"*")=0,"No Check",IF(COUNTIFS('05_Checksheet'!$C$5:$C$26,"*"&amp;A10&amp;"*",'05_Checksheet'!$G$5:$G$26,"Fail")&gt;0,"Fail",IF(COUNTIFS('05_Checksheet'!$C$5:$C$26,"*"&amp;A10&amp;"*",'05_Checksheet'!$G$5:$G$26,"Pass")=COUNTIF('05_Checksheet'!$C$5:$C$26,"*"&amp;A10&amp;"*"),"Pass","Belum")))</f>
        <v>Belum</v>
      </c>
      <c r="H10" s="1" t="str">
        <f t="shared" si="0"/>
        <v>Covered</v>
      </c>
    </row>
    <row r="11" spans="1:8" x14ac:dyDescent="0.3">
      <c r="A11" s="1" t="s">
        <v>211</v>
      </c>
      <c r="B11" s="10" t="s">
        <v>544</v>
      </c>
      <c r="C11" s="10">
        <v>9</v>
      </c>
      <c r="D11" s="10" t="s">
        <v>370</v>
      </c>
      <c r="E11" s="10" t="s">
        <v>464</v>
      </c>
      <c r="F11" s="1" t="str">
        <f>_xlfn.IFNA(_xlfn.XLOOKUP(A11,'02_Requirements'!$A$5:$A$20,'02_Requirements'!$H$5:$H$20),"Missing")</f>
        <v>Draft</v>
      </c>
      <c r="G11" s="1" t="str">
        <f>IF(COUNTIF('05_Checksheet'!$C$5:$C$26,"*"&amp;A11&amp;"*")=0,"No Check",IF(COUNTIFS('05_Checksheet'!$C$5:$C$26,"*"&amp;A11&amp;"*",'05_Checksheet'!$G$5:$G$26,"Fail")&gt;0,"Fail",IF(COUNTIFS('05_Checksheet'!$C$5:$C$26,"*"&amp;A11&amp;"*",'05_Checksheet'!$G$5:$G$26,"Pass")=COUNTIF('05_Checksheet'!$C$5:$C$26,"*"&amp;A11&amp;"*"),"Pass","Belum")))</f>
        <v>Belum</v>
      </c>
      <c r="H11" s="1" t="str">
        <f t="shared" si="0"/>
        <v>Covered</v>
      </c>
    </row>
    <row r="12" spans="1:8" x14ac:dyDescent="0.3">
      <c r="A12" s="1" t="s">
        <v>215</v>
      </c>
      <c r="B12" s="10" t="s">
        <v>216</v>
      </c>
      <c r="C12" s="10">
        <v>10</v>
      </c>
      <c r="D12" s="10" t="s">
        <v>545</v>
      </c>
      <c r="E12" s="10" t="s">
        <v>546</v>
      </c>
      <c r="F12" s="1" t="str">
        <f>_xlfn.IFNA(_xlfn.XLOOKUP(A12,'02_Requirements'!$A$5:$A$20,'02_Requirements'!$H$5:$H$20),"Missing")</f>
        <v>Draft</v>
      </c>
      <c r="G12" s="1" t="str">
        <f>IF(COUNTIF('05_Checksheet'!$C$5:$C$26,"*"&amp;A12&amp;"*")=0,"No Check",IF(COUNTIFS('05_Checksheet'!$C$5:$C$26,"*"&amp;A12&amp;"*",'05_Checksheet'!$G$5:$G$26,"Fail")&gt;0,"Fail",IF(COUNTIFS('05_Checksheet'!$C$5:$C$26,"*"&amp;A12&amp;"*",'05_Checksheet'!$G$5:$G$26,"Pass")=COUNTIF('05_Checksheet'!$C$5:$C$26,"*"&amp;A12&amp;"*"),"Pass","Belum")))</f>
        <v>Belum</v>
      </c>
      <c r="H12" s="1" t="str">
        <f t="shared" si="0"/>
        <v>Covered</v>
      </c>
    </row>
    <row r="13" spans="1:8" x14ac:dyDescent="0.3">
      <c r="A13" s="1" t="s">
        <v>219</v>
      </c>
      <c r="B13" s="10" t="s">
        <v>547</v>
      </c>
      <c r="C13" s="10">
        <v>11</v>
      </c>
      <c r="D13" s="10" t="s">
        <v>376</v>
      </c>
      <c r="E13" s="10" t="s">
        <v>471</v>
      </c>
      <c r="F13" s="1" t="str">
        <f>_xlfn.IFNA(_xlfn.XLOOKUP(A13,'02_Requirements'!$A$5:$A$20,'02_Requirements'!$H$5:$H$20),"Missing")</f>
        <v>Draft</v>
      </c>
      <c r="G13" s="1" t="str">
        <f>IF(COUNTIF('05_Checksheet'!$C$5:$C$26,"*"&amp;A13&amp;"*")=0,"No Check",IF(COUNTIFS('05_Checksheet'!$C$5:$C$26,"*"&amp;A13&amp;"*",'05_Checksheet'!$G$5:$G$26,"Fail")&gt;0,"Fail",IF(COUNTIFS('05_Checksheet'!$C$5:$C$26,"*"&amp;A13&amp;"*",'05_Checksheet'!$G$5:$G$26,"Pass")=COUNTIF('05_Checksheet'!$C$5:$C$26,"*"&amp;A13&amp;"*"),"Pass","Belum")))</f>
        <v>Belum</v>
      </c>
      <c r="H13" s="1" t="str">
        <f t="shared" si="0"/>
        <v>Covered</v>
      </c>
    </row>
    <row r="14" spans="1:8" x14ac:dyDescent="0.3">
      <c r="A14" s="1" t="s">
        <v>223</v>
      </c>
      <c r="B14" s="10" t="s">
        <v>548</v>
      </c>
      <c r="C14" s="10">
        <v>12</v>
      </c>
      <c r="D14" s="10" t="s">
        <v>549</v>
      </c>
      <c r="E14" s="10" t="s">
        <v>550</v>
      </c>
      <c r="F14" s="1" t="str">
        <f>_xlfn.IFNA(_xlfn.XLOOKUP(A14,'02_Requirements'!$A$5:$A$20,'02_Requirements'!$H$5:$H$20),"Missing")</f>
        <v>Draft</v>
      </c>
      <c r="G14" s="1" t="str">
        <f>IF(COUNTIF('05_Checksheet'!$C$5:$C$26,"*"&amp;A14&amp;"*")=0,"No Check",IF(COUNTIFS('05_Checksheet'!$C$5:$C$26,"*"&amp;A14&amp;"*",'05_Checksheet'!$G$5:$G$26,"Fail")&gt;0,"Fail",IF(COUNTIFS('05_Checksheet'!$C$5:$C$26,"*"&amp;A14&amp;"*",'05_Checksheet'!$G$5:$G$26,"Pass")=COUNTIF('05_Checksheet'!$C$5:$C$26,"*"&amp;A14&amp;"*"),"Pass","Belum")))</f>
        <v>Belum</v>
      </c>
      <c r="H14" s="1" t="str">
        <f t="shared" si="0"/>
        <v>Covered</v>
      </c>
    </row>
    <row r="15" spans="1:8" x14ac:dyDescent="0.3">
      <c r="A15" s="1" t="s">
        <v>228</v>
      </c>
      <c r="B15" s="10" t="s">
        <v>132</v>
      </c>
      <c r="C15" s="10">
        <v>7</v>
      </c>
      <c r="D15" s="10" t="s">
        <v>551</v>
      </c>
      <c r="E15" s="10" t="s">
        <v>552</v>
      </c>
      <c r="F15" s="1" t="str">
        <f>_xlfn.IFNA(_xlfn.XLOOKUP(A15,'02_Requirements'!$A$5:$A$20,'02_Requirements'!$H$5:$H$20),"Missing")</f>
        <v>Draft</v>
      </c>
      <c r="G15" s="1" t="str">
        <f>IF(COUNTIF('05_Checksheet'!$C$5:$C$26,"*"&amp;A15&amp;"*")=0,"No Check",IF(COUNTIFS('05_Checksheet'!$C$5:$C$26,"*"&amp;A15&amp;"*",'05_Checksheet'!$G$5:$G$26,"Fail")&gt;0,"Fail",IF(COUNTIFS('05_Checksheet'!$C$5:$C$26,"*"&amp;A15&amp;"*",'05_Checksheet'!$G$5:$G$26,"Pass")=COUNTIF('05_Checksheet'!$C$5:$C$26,"*"&amp;A15&amp;"*"),"Pass","Belum")))</f>
        <v>Belum</v>
      </c>
      <c r="H15" s="1" t="str">
        <f t="shared" si="0"/>
        <v>Covered</v>
      </c>
    </row>
    <row r="16" spans="1:8" x14ac:dyDescent="0.3">
      <c r="A16" s="1" t="s">
        <v>232</v>
      </c>
      <c r="B16" s="10" t="s">
        <v>553</v>
      </c>
      <c r="C16" s="10" t="s">
        <v>554</v>
      </c>
      <c r="D16" s="10" t="s">
        <v>382</v>
      </c>
      <c r="E16" s="10" t="s">
        <v>488</v>
      </c>
      <c r="F16" s="1" t="str">
        <f>_xlfn.IFNA(_xlfn.XLOOKUP(A16,'02_Requirements'!$A$5:$A$20,'02_Requirements'!$H$5:$H$20),"Missing")</f>
        <v>Draft</v>
      </c>
      <c r="G16" s="1" t="str">
        <f>IF(COUNTIF('05_Checksheet'!$C$5:$C$26,"*"&amp;A16&amp;"*")=0,"No Check",IF(COUNTIFS('05_Checksheet'!$C$5:$C$26,"*"&amp;A16&amp;"*",'05_Checksheet'!$G$5:$G$26,"Fail")&gt;0,"Fail",IF(COUNTIFS('05_Checksheet'!$C$5:$C$26,"*"&amp;A16&amp;"*",'05_Checksheet'!$G$5:$G$26,"Pass")=COUNTIF('05_Checksheet'!$C$5:$C$26,"*"&amp;A16&amp;"*"),"Pass","Belum")))</f>
        <v>Belum</v>
      </c>
      <c r="H16" s="1" t="str">
        <f t="shared" si="0"/>
        <v>Covered</v>
      </c>
    </row>
    <row r="17" spans="1:8" x14ac:dyDescent="0.3">
      <c r="A17" s="1" t="s">
        <v>139</v>
      </c>
      <c r="B17" s="10" t="s">
        <v>140</v>
      </c>
      <c r="C17" s="10" t="s">
        <v>555</v>
      </c>
      <c r="D17" s="10" t="s">
        <v>264</v>
      </c>
      <c r="E17" s="10" t="s">
        <v>497</v>
      </c>
      <c r="F17" s="1" t="str">
        <f>_xlfn.IFNA(_xlfn.XLOOKUP(A17,'02_Requirements'!$A$5:$A$20,'02_Requirements'!$H$5:$H$20),"Missing")</f>
        <v>Draft</v>
      </c>
      <c r="G17" s="1" t="str">
        <f>IF(COUNTIF('05_Checksheet'!$C$5:$C$26,"*"&amp;A17&amp;"*")=0,"No Check",IF(COUNTIFS('05_Checksheet'!$C$5:$C$26,"*"&amp;A17&amp;"*",'05_Checksheet'!$G$5:$G$26,"Fail")&gt;0,"Fail",IF(COUNTIFS('05_Checksheet'!$C$5:$C$26,"*"&amp;A17&amp;"*",'05_Checksheet'!$G$5:$G$26,"Pass")=COUNTIF('05_Checksheet'!$C$5:$C$26,"*"&amp;A17&amp;"*"),"Pass","Belum")))</f>
        <v>Belum</v>
      </c>
      <c r="H17" s="1" t="str">
        <f t="shared" si="0"/>
        <v>Covered</v>
      </c>
    </row>
    <row r="18" spans="1:8" x14ac:dyDescent="0.3">
      <c r="A18" s="1" t="s">
        <v>153</v>
      </c>
      <c r="B18" s="10" t="s">
        <v>556</v>
      </c>
      <c r="C18" s="10" t="s">
        <v>557</v>
      </c>
      <c r="D18" s="10" t="s">
        <v>549</v>
      </c>
      <c r="E18" s="10" t="s">
        <v>492</v>
      </c>
      <c r="F18" s="1" t="str">
        <f>_xlfn.IFNA(_xlfn.XLOOKUP(A18,'02_Requirements'!$A$5:$A$20,'02_Requirements'!$H$5:$H$20),"Missing")</f>
        <v>Draft</v>
      </c>
      <c r="G18" s="1" t="str">
        <f>IF(COUNTIF('05_Checksheet'!$C$5:$C$26,"*"&amp;A18&amp;"*")=0,"No Check",IF(COUNTIFS('05_Checksheet'!$C$5:$C$26,"*"&amp;A18&amp;"*",'05_Checksheet'!$G$5:$G$26,"Fail")&gt;0,"Fail",IF(COUNTIFS('05_Checksheet'!$C$5:$C$26,"*"&amp;A18&amp;"*",'05_Checksheet'!$G$5:$G$26,"Pass")=COUNTIF('05_Checksheet'!$C$5:$C$26,"*"&amp;A18&amp;"*"),"Pass","Belum")))</f>
        <v>Belum</v>
      </c>
      <c r="H18" s="1" t="str">
        <f t="shared" si="0"/>
        <v>Covered</v>
      </c>
    </row>
    <row r="19" spans="1:8" x14ac:dyDescent="0.3">
      <c r="A19" s="1" t="s">
        <v>158</v>
      </c>
      <c r="B19" s="10" t="s">
        <v>558</v>
      </c>
      <c r="C19" s="10" t="s">
        <v>559</v>
      </c>
      <c r="D19" s="10" t="s">
        <v>382</v>
      </c>
      <c r="E19" s="10" t="s">
        <v>488</v>
      </c>
      <c r="F19" s="1" t="str">
        <f>_xlfn.IFNA(_xlfn.XLOOKUP(A19,'02_Requirements'!$A$5:$A$20,'02_Requirements'!$H$5:$H$20),"Missing")</f>
        <v>Draft</v>
      </c>
      <c r="G19" s="1" t="str">
        <f>IF(COUNTIF('05_Checksheet'!$C$5:$C$26,"*"&amp;A19&amp;"*")=0,"No Check",IF(COUNTIFS('05_Checksheet'!$C$5:$C$26,"*"&amp;A19&amp;"*",'05_Checksheet'!$G$5:$G$26,"Fail")&gt;0,"Fail",IF(COUNTIFS('05_Checksheet'!$C$5:$C$26,"*"&amp;A19&amp;"*",'05_Checksheet'!$G$5:$G$26,"Pass")=COUNTIF('05_Checksheet'!$C$5:$C$26,"*"&amp;A19&amp;"*"),"Pass","Belum")))</f>
        <v>Belum</v>
      </c>
      <c r="H19" s="1" t="str">
        <f t="shared" si="0"/>
        <v>Covered</v>
      </c>
    </row>
    <row r="20" spans="1:8" x14ac:dyDescent="0.3">
      <c r="A20" s="1" t="s">
        <v>164</v>
      </c>
      <c r="B20" s="10" t="s">
        <v>560</v>
      </c>
      <c r="C20" s="10" t="s">
        <v>561</v>
      </c>
      <c r="D20" s="10" t="s">
        <v>264</v>
      </c>
      <c r="E20" s="10" t="s">
        <v>562</v>
      </c>
      <c r="F20" s="1" t="str">
        <f>_xlfn.IFNA(_xlfn.XLOOKUP(A20,'02_Requirements'!$A$5:$A$20,'02_Requirements'!$H$5:$H$20),"Missing")</f>
        <v>Draft</v>
      </c>
      <c r="G20" s="1" t="str">
        <f>IF(COUNTIF('05_Checksheet'!$C$5:$C$26,"*"&amp;A20&amp;"*")=0,"No Check",IF(COUNTIFS('05_Checksheet'!$C$5:$C$26,"*"&amp;A20&amp;"*",'05_Checksheet'!$G$5:$G$26,"Fail")&gt;0,"Fail",IF(COUNTIFS('05_Checksheet'!$C$5:$C$26,"*"&amp;A20&amp;"*",'05_Checksheet'!$G$5:$G$26,"Pass")=COUNTIF('05_Checksheet'!$C$5:$C$26,"*"&amp;A20&amp;"*"),"Pass","Belum")))</f>
        <v>Belum</v>
      </c>
      <c r="H20" s="1" t="str">
        <f t="shared" si="0"/>
        <v>Covered</v>
      </c>
    </row>
  </sheetData>
  <mergeCells count="1">
    <mergeCell ref="A1:H2"/>
  </mergeCells>
  <conditionalFormatting sqref="F5:H20">
    <cfRule type="expression" dxfId="19" priority="1">
      <formula>F5="Pass"</formula>
    </cfRule>
  </conditionalFormatting>
  <conditionalFormatting sqref="F5:H20">
    <cfRule type="expression" dxfId="18" priority="2">
      <formula>F5="Approved"</formula>
    </cfRule>
  </conditionalFormatting>
  <conditionalFormatting sqref="F5:H20">
    <cfRule type="expression" dxfId="17" priority="3">
      <formula>F5="Covered"</formula>
    </cfRule>
  </conditionalFormatting>
  <conditionalFormatting sqref="F5:H20">
    <cfRule type="expression" dxfId="16" priority="4">
      <formula>F5="Fail"</formula>
    </cfRule>
  </conditionalFormatting>
  <conditionalFormatting sqref="F5:H20">
    <cfRule type="expression" dxfId="15" priority="5">
      <formula>F5="Rejected"</formula>
    </cfRule>
  </conditionalFormatting>
  <conditionalFormatting sqref="F5:H20">
    <cfRule type="expression" dxfId="14" priority="6">
      <formula>F5="Gap"</formula>
    </cfRule>
  </conditionalFormatting>
  <conditionalFormatting sqref="F5:H20">
    <cfRule type="expression" dxfId="13" priority="7">
      <formula>F5="Belum"</formula>
    </cfRule>
  </conditionalFormatting>
  <conditionalFormatting sqref="F5:H20">
    <cfRule type="expression" dxfId="12" priority="8">
      <formula>F5="Draft"</formula>
    </cfRule>
  </conditionalFormatting>
  <conditionalFormatting sqref="F5:H20">
    <cfRule type="expression" dxfId="11" priority="9">
      <formula>F5="Review"</formula>
    </cfRule>
  </conditionalFormatting>
  <conditionalFormatting sqref="F5:H20">
    <cfRule type="expression" dxfId="10" priority="10">
      <formula>F5="Open"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8B68-E9C2-45A6-99C9-989D2F178412}">
  <sheetPr>
    <tabColor rgb="FFA5A5A5"/>
  </sheetPr>
  <dimension ref="A1:F22"/>
  <sheetViews>
    <sheetView showGridLines="0" workbookViewId="0">
      <selection activeCell="H9" sqref="H9"/>
    </sheetView>
  </sheetViews>
  <sheetFormatPr defaultRowHeight="14.4" x14ac:dyDescent="0.3"/>
  <cols>
    <col min="1" max="1" width="10.21875" customWidth="1"/>
    <col min="2" max="2" width="33.33203125" customWidth="1"/>
    <col min="3" max="3" width="26.88671875" customWidth="1"/>
    <col min="4" max="4" width="40.77734375" customWidth="1"/>
    <col min="5" max="6" width="24.109375" customWidth="1"/>
  </cols>
  <sheetData>
    <row r="1" spans="1:6" x14ac:dyDescent="0.3">
      <c r="A1" s="5" t="s">
        <v>563</v>
      </c>
      <c r="B1" s="5"/>
      <c r="C1" s="5"/>
      <c r="D1" s="5"/>
      <c r="E1" s="5"/>
      <c r="F1" s="5"/>
    </row>
    <row r="2" spans="1:6" x14ac:dyDescent="0.3">
      <c r="A2" s="5"/>
      <c r="B2" s="5"/>
      <c r="C2" s="5"/>
      <c r="D2" s="5"/>
      <c r="E2" s="5"/>
      <c r="F2" s="5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 t="s">
        <v>564</v>
      </c>
      <c r="B4" s="1" t="s">
        <v>565</v>
      </c>
      <c r="C4" s="1" t="s">
        <v>566</v>
      </c>
      <c r="D4" s="1" t="s">
        <v>567</v>
      </c>
      <c r="E4" s="1" t="s">
        <v>19</v>
      </c>
      <c r="F4" s="1" t="s">
        <v>568</v>
      </c>
    </row>
    <row r="5" spans="1:6" x14ac:dyDescent="0.3">
      <c r="A5" s="1">
        <v>1</v>
      </c>
      <c r="B5" s="10" t="s">
        <v>569</v>
      </c>
      <c r="C5" s="10" t="s">
        <v>570</v>
      </c>
      <c r="D5" s="10" t="s">
        <v>571</v>
      </c>
      <c r="E5" s="10" t="s">
        <v>572</v>
      </c>
      <c r="F5" s="10" t="s">
        <v>573</v>
      </c>
    </row>
    <row r="6" spans="1:6" x14ac:dyDescent="0.3">
      <c r="A6" s="1">
        <v>2</v>
      </c>
      <c r="B6" s="10" t="s">
        <v>574</v>
      </c>
      <c r="C6" s="10" t="s">
        <v>575</v>
      </c>
      <c r="D6" s="10" t="s">
        <v>576</v>
      </c>
      <c r="E6" s="10" t="s">
        <v>577</v>
      </c>
      <c r="F6" s="10" t="s">
        <v>578</v>
      </c>
    </row>
    <row r="7" spans="1:6" x14ac:dyDescent="0.3">
      <c r="A7" s="1">
        <v>3</v>
      </c>
      <c r="B7" s="10" t="s">
        <v>579</v>
      </c>
      <c r="C7" s="10" t="s">
        <v>21</v>
      </c>
      <c r="D7" s="10" t="s">
        <v>580</v>
      </c>
      <c r="E7" s="10" t="s">
        <v>577</v>
      </c>
      <c r="F7" s="10" t="s">
        <v>581</v>
      </c>
    </row>
    <row r="8" spans="1:6" x14ac:dyDescent="0.3">
      <c r="A8" s="1">
        <v>4</v>
      </c>
      <c r="B8" s="10" t="s">
        <v>582</v>
      </c>
      <c r="C8" s="10" t="s">
        <v>21</v>
      </c>
      <c r="D8" s="10" t="s">
        <v>583</v>
      </c>
      <c r="E8" s="10" t="s">
        <v>584</v>
      </c>
      <c r="F8" s="10" t="s">
        <v>585</v>
      </c>
    </row>
    <row r="9" spans="1:6" x14ac:dyDescent="0.3">
      <c r="A9" s="1">
        <v>5</v>
      </c>
      <c r="B9" s="10" t="s">
        <v>586</v>
      </c>
      <c r="C9" s="10" t="s">
        <v>26</v>
      </c>
      <c r="D9" s="10" t="s">
        <v>587</v>
      </c>
      <c r="E9" s="10" t="s">
        <v>588</v>
      </c>
      <c r="F9" s="10" t="s">
        <v>589</v>
      </c>
    </row>
    <row r="10" spans="1:6" x14ac:dyDescent="0.3">
      <c r="A10" s="1">
        <v>6</v>
      </c>
      <c r="B10" s="10" t="s">
        <v>590</v>
      </c>
      <c r="C10" s="10" t="s">
        <v>29</v>
      </c>
      <c r="D10" s="10" t="s">
        <v>591</v>
      </c>
      <c r="E10" s="10" t="s">
        <v>31</v>
      </c>
      <c r="F10" s="10" t="s">
        <v>592</v>
      </c>
    </row>
    <row r="11" spans="1:6" x14ac:dyDescent="0.3">
      <c r="A11" s="1">
        <v>7</v>
      </c>
      <c r="B11" s="10" t="s">
        <v>593</v>
      </c>
      <c r="C11" s="10" t="s">
        <v>33</v>
      </c>
      <c r="D11" s="10" t="s">
        <v>594</v>
      </c>
      <c r="E11" s="10" t="s">
        <v>35</v>
      </c>
      <c r="F11" s="10" t="s">
        <v>595</v>
      </c>
    </row>
    <row r="12" spans="1:6" x14ac:dyDescent="0.3">
      <c r="A12" s="1">
        <v>8</v>
      </c>
      <c r="B12" s="10" t="s">
        <v>596</v>
      </c>
      <c r="C12" s="10" t="s">
        <v>37</v>
      </c>
      <c r="D12" s="10" t="s">
        <v>597</v>
      </c>
      <c r="E12" s="10" t="s">
        <v>175</v>
      </c>
      <c r="F12" s="10" t="s">
        <v>598</v>
      </c>
    </row>
    <row r="13" spans="1:6" x14ac:dyDescent="0.3">
      <c r="A13" s="1">
        <v>9</v>
      </c>
      <c r="B13" s="10" t="s">
        <v>599</v>
      </c>
      <c r="C13" s="10" t="s">
        <v>42</v>
      </c>
      <c r="D13" s="10" t="s">
        <v>600</v>
      </c>
      <c r="E13" s="10" t="s">
        <v>44</v>
      </c>
      <c r="F13" s="10" t="s">
        <v>601</v>
      </c>
    </row>
    <row r="14" spans="1:6" x14ac:dyDescent="0.3">
      <c r="A14" s="1">
        <v>10</v>
      </c>
      <c r="B14" s="10" t="s">
        <v>602</v>
      </c>
      <c r="C14" s="10" t="s">
        <v>575</v>
      </c>
      <c r="D14" s="10" t="s">
        <v>603</v>
      </c>
      <c r="E14" s="10" t="s">
        <v>604</v>
      </c>
      <c r="F14" s="10" t="s">
        <v>605</v>
      </c>
    </row>
    <row r="15" spans="1:6" x14ac:dyDescent="0.3">
      <c r="A15" s="1"/>
      <c r="B15" s="10"/>
      <c r="C15" s="10"/>
      <c r="D15" s="10"/>
      <c r="E15" s="10"/>
      <c r="F15" s="10"/>
    </row>
    <row r="16" spans="1:6" x14ac:dyDescent="0.3">
      <c r="A16" s="1"/>
      <c r="B16" s="10"/>
      <c r="C16" s="10"/>
      <c r="D16" s="10"/>
      <c r="E16" s="10"/>
      <c r="F16" s="10"/>
    </row>
    <row r="17" spans="1:6" x14ac:dyDescent="0.3">
      <c r="A17" s="1" t="s">
        <v>606</v>
      </c>
      <c r="B17" s="10" t="s">
        <v>607</v>
      </c>
      <c r="C17" s="10" t="s">
        <v>608</v>
      </c>
      <c r="D17" s="10" t="s">
        <v>609</v>
      </c>
      <c r="E17" s="10" t="s">
        <v>20</v>
      </c>
      <c r="F17" s="10" t="s">
        <v>19</v>
      </c>
    </row>
    <row r="18" spans="1:6" ht="27.6" x14ac:dyDescent="0.3">
      <c r="A18" s="1" t="s">
        <v>610</v>
      </c>
      <c r="B18" s="10" t="s">
        <v>611</v>
      </c>
      <c r="C18" s="10" t="s">
        <v>612</v>
      </c>
      <c r="D18" s="10" t="s">
        <v>613</v>
      </c>
      <c r="E18" s="10" t="s">
        <v>614</v>
      </c>
      <c r="F18" s="10" t="s">
        <v>588</v>
      </c>
    </row>
    <row r="19" spans="1:6" x14ac:dyDescent="0.3">
      <c r="A19" s="1" t="s">
        <v>615</v>
      </c>
      <c r="B19" s="10" t="s">
        <v>616</v>
      </c>
      <c r="C19" s="10" t="s">
        <v>617</v>
      </c>
      <c r="D19" s="10" t="s">
        <v>613</v>
      </c>
      <c r="E19" s="10" t="s">
        <v>618</v>
      </c>
      <c r="F19" s="10" t="s">
        <v>619</v>
      </c>
    </row>
    <row r="20" spans="1:6" ht="27.6" x14ac:dyDescent="0.3">
      <c r="A20" s="1" t="s">
        <v>331</v>
      </c>
      <c r="B20" s="10" t="s">
        <v>620</v>
      </c>
      <c r="C20" s="10" t="s">
        <v>621</v>
      </c>
      <c r="D20" s="10" t="s">
        <v>613</v>
      </c>
      <c r="E20" s="10" t="s">
        <v>622</v>
      </c>
      <c r="F20" s="10" t="s">
        <v>588</v>
      </c>
    </row>
    <row r="21" spans="1:6" ht="27.6" x14ac:dyDescent="0.3">
      <c r="A21" s="1" t="s">
        <v>623</v>
      </c>
      <c r="B21" s="10" t="s">
        <v>624</v>
      </c>
      <c r="C21" s="10" t="s">
        <v>625</v>
      </c>
      <c r="D21" s="10" t="s">
        <v>613</v>
      </c>
      <c r="E21" s="10" t="s">
        <v>626</v>
      </c>
      <c r="F21" s="10" t="s">
        <v>175</v>
      </c>
    </row>
    <row r="22" spans="1:6" x14ac:dyDescent="0.3">
      <c r="A22" s="1" t="s">
        <v>627</v>
      </c>
      <c r="B22" s="10" t="s">
        <v>628</v>
      </c>
      <c r="C22" s="10" t="s">
        <v>629</v>
      </c>
      <c r="D22" s="10" t="s">
        <v>630</v>
      </c>
      <c r="E22" s="10" t="s">
        <v>631</v>
      </c>
      <c r="F22" s="10" t="s">
        <v>175</v>
      </c>
    </row>
  </sheetData>
  <mergeCells count="1">
    <mergeCell ref="A1:F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00_Ringkasan</vt:lpstr>
      <vt:lpstr>01_SRS</vt:lpstr>
      <vt:lpstr>02_Requirements</vt:lpstr>
      <vt:lpstr>03_Process_Flow</vt:lpstr>
      <vt:lpstr>04_Data_Model</vt:lpstr>
      <vt:lpstr>05_Checksheet</vt:lpstr>
      <vt:lpstr>06_Traceability</vt:lpstr>
      <vt:lpstr>07_Panduan_Copy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Hery Hermawan</dc:creator>
  <cp:lastModifiedBy>Hery Hermawan</cp:lastModifiedBy>
  <dcterms:created xsi:type="dcterms:W3CDTF">2026-09-17T08:58:12Z</dcterms:created>
  <dcterms:modified xsi:type="dcterms:W3CDTF">2026-09-18T05:26:50Z</dcterms:modified>
</cp:coreProperties>
</file>